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edido" sheetId="2" state="visible" r:id="rId4"/>
    <sheet name="Comparativo" sheetId="3" state="visible" r:id="rId5"/>
    <sheet name="Resumen vs DDJJ" sheetId="4" state="visible" r:id="rId6"/>
  </sheets>
  <definedNames>
    <definedName function="false" hidden="true" localSheetId="2" name="_xlnm._FilterDatabase" vbProcedure="false">Comparativo!$A$15:$O$41</definedName>
    <definedName function="false" hidden="true" localSheetId="1" name="_xlnm._FilterDatabase" vbProcedure="false">Pedido!$A$15:$F$40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1" authorId="0">
      <text>
        <r>
          <rPr>
            <sz val="10"/>
            <rFont val="Arial"/>
            <family val="2"/>
          </rPr>
          <t xml:space="preserve">Alícuota general 21 %. Algunos bienes de capital tributan 10,5 %: corregir según la factura del proveedor.</t>
        </r>
      </text>
    </comment>
    <comment ref="I11" authorId="0">
      <text>
        <r>
          <rPr>
            <sz val="10"/>
            <rFont val="Arial"/>
            <family val="2"/>
          </rPr>
          <t xml:space="preserve">Alícuota general 21 %. Algunos bienes de capital tributan 10,5 %: corregir según la factura del proveedor.</t>
        </r>
      </text>
    </comment>
    <comment ref="K11" authorId="0">
      <text>
        <r>
          <rPr>
            <sz val="10"/>
            <rFont val="Arial"/>
            <family val="2"/>
          </rPr>
          <t xml:space="preserve">Alícuota general 21 %. Algunos bienes de capital tributan 10,5 %: corregir según la factura del proveedor.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Fuente: carpeta DDJJ de XANTRAX, Paso 3, decisión de declarar $516 M en la Fase I (dato del usuario).</t>
        </r>
      </text>
    </comment>
  </commentList>
</comments>
</file>

<file path=xl/sharedStrings.xml><?xml version="1.0" encoding="utf-8"?>
<sst xmlns="http://schemas.openxmlformats.org/spreadsheetml/2006/main" count="439" uniqueCount="212">
  <si>
    <t xml:space="preserve">Planilla de cotizaciones — XANTRAX S.R.L.</t>
  </si>
  <si>
    <t xml:space="preserve">Base operativa en el Parque Industrial Capital, Neuquén. Respaldo de los montos del Paso 3 de la DDJJ (Fase I: $516 M).</t>
  </si>
  <si>
    <t xml:space="preserve">Para qué sirve</t>
  </si>
  <si>
    <t xml:space="preserve">Pedir precios a proveedores, comparar hasta 3 ofertas por ítem y ver si la mejor oferta entra en el monto declarado en la DDJJ.</t>
  </si>
  <si>
    <t xml:space="preserve">Paso 1</t>
  </si>
  <si>
    <t xml:space="preserve">Completar los datos de contacto y la fecha límite en la hoja «Pedido» (celdas amarillas).</t>
  </si>
  <si>
    <t xml:space="preserve">Paso 2</t>
  </si>
  <si>
    <t xml:space="preserve">Filtrar la hoja «Pedido» por «Tipo de proveedor» y enviar a cada proveedor solo sus ítems. No incluye los montos de referencia.</t>
  </si>
  <si>
    <t xml:space="preserve">Paso 3</t>
  </si>
  <si>
    <t xml:space="preserve">Cargar cada respuesta en «Comparativo»: datos del proveedor en el bloque superior y precio unitario por ítem (celdas amarillas).</t>
  </si>
  <si>
    <t xml:space="preserve">Paso 4</t>
  </si>
  <si>
    <t xml:space="preserve">Revisar «Resumen vs DDJJ»: muestra por línea de presupuesto la mejor oferta, el desvío contra la DDJJ y los ítems sin cotizar.</t>
  </si>
  <si>
    <t xml:space="preserve">Celdas a completar</t>
  </si>
  <si>
    <t xml:space="preserve">Fondo amarillo. Texto azul = dato cargado a mano (cantidades, referencias). Texto negro = fórmula: no editar.</t>
  </si>
  <si>
    <t xml:space="preserve">Comparación sin IVA</t>
  </si>
  <si>
    <t xml:space="preserve">Las ofertas se comparan sin IVA. Si un proveedor cotiza con IVA, indicar «Sí» y la alícuota en su bloque: la planilla la descuenta.</t>
  </si>
  <si>
    <t xml:space="preserve">Montos de referencia</t>
  </si>
  <si>
    <t xml:space="preserve">Salen de la carpeta DDJJ (Paso 3, decisión de declarar $516 M). La DDJJ se declara sin IVA, igual que esta comparación.</t>
  </si>
  <si>
    <t xml:space="preserve">Cantidades</t>
  </si>
  <si>
    <t xml:space="preserve">Salen del plano de implantación (anteproyecto 1:250). El playón (970 m²) y el cerco (172 ml) se recalculan si cambian los retiros.</t>
  </si>
  <si>
    <t xml:space="preserve">Plazo</t>
  </si>
  <si>
    <t xml:space="preserve">La DDJJ se presenta el 2/11/2026: las cotizaciones tienen que llegar antes para reemplazar las estimaciones.</t>
  </si>
  <si>
    <t xml:space="preserve">Ejemplo de carga en «Comparativo» (formato esperado)</t>
  </si>
  <si>
    <t xml:space="preserve">Campo</t>
  </si>
  <si>
    <t xml:space="preserve">Ejemplo</t>
  </si>
  <si>
    <t xml:space="preserve">Proveedor</t>
  </si>
  <si>
    <t xml:space="preserve">Metalúrgica Ejemplo S.A.</t>
  </si>
  <si>
    <t xml:space="preserve">CUIT</t>
  </si>
  <si>
    <t xml:space="preserve">30-00000000-0</t>
  </si>
  <si>
    <t xml:space="preserve">Contacto</t>
  </si>
  <si>
    <t xml:space="preserve">Juan Pérez — 299 400-0000 — compras@ejemplo.com</t>
  </si>
  <si>
    <t xml:space="preserve">Fecha de cotización</t>
  </si>
  <si>
    <t xml:space="preserve">30/10/2026</t>
  </si>
  <si>
    <t xml:space="preserve">Validez (días)</t>
  </si>
  <si>
    <t xml:space="preserve">15</t>
  </si>
  <si>
    <t xml:space="preserve">Precios incluyen IVA</t>
  </si>
  <si>
    <t xml:space="preserve">No</t>
  </si>
  <si>
    <t xml:space="preserve">Alícuota IVA</t>
  </si>
  <si>
    <t xml:space="preserve">21%</t>
  </si>
  <si>
    <t xml:space="preserve">Plazo de ejecución</t>
  </si>
  <si>
    <t xml:space="preserve">120 días desde el anticipo</t>
  </si>
  <si>
    <t xml:space="preserve">Forma de pago</t>
  </si>
  <si>
    <t xml:space="preserve">40 % anticipo, saldo por certificado de avance</t>
  </si>
  <si>
    <t xml:space="preserve">Precio unitario ítem O-02 (m²)</t>
  </si>
  <si>
    <t xml:space="preserve">$ 95.000 (sin IVA)  →  Total = 95.000 × 350 m² = $ 33.250.000</t>
  </si>
  <si>
    <t xml:space="preserve">Los valores del ejemplo son ficticios: solo muestran el formato.</t>
  </si>
  <si>
    <t xml:space="preserve">SOLICITUD DE COTIZACIÓN — XANTRAX S.R.L. (CUIT 30-71457180-6)</t>
  </si>
  <si>
    <t xml:space="preserve">Obra: base operativa, taller y depósito de herramientas de pozo — Parque Industrial Capital, Neuquén</t>
  </si>
  <si>
    <t xml:space="preserve">Lote / manzana</t>
  </si>
  <si>
    <t xml:space="preserve">Lote [N° de lote], manzana [N° de manzana]</t>
  </si>
  <si>
    <t xml:space="preserve">Contacto para consultas</t>
  </si>
  <si>
    <t xml:space="preserve">Ignacio Ramallo, socio gerente · +54 9 299 467-5788 · iramallo@xantrax.com.ar</t>
  </si>
  <si>
    <t xml:space="preserve">Fecha límite de respuesta</t>
  </si>
  <si>
    <t xml:space="preserve">[fecha límite de respuesta]</t>
  </si>
  <si>
    <t xml:space="preserve">Condiciones de la cotización</t>
  </si>
  <si>
    <t xml:space="preserve">•</t>
  </si>
  <si>
    <t xml:space="preserve">Precios en pesos argentinos (ARS), discriminando el IVA y su alícuota.</t>
  </si>
  <si>
    <t xml:space="preserve">Validez mínima de la oferta: 15 días.</t>
  </si>
  <si>
    <t xml:space="preserve">Indicar plazo de entrega o de ejecución, forma de pago y qué incluye (transporte, montaje, garantía).</t>
  </si>
  <si>
    <t xml:space="preserve">Cotizar por ítem, con precio unitario y total. Se pueden proponer alternativas técnicas aclarándolas.</t>
  </si>
  <si>
    <t xml:space="preserve">Las cantidades son de anteproyecto; el proyecto ejecutivo puede ajustarlas.</t>
  </si>
  <si>
    <t xml:space="preserve">Código</t>
  </si>
  <si>
    <t xml:space="preserve">Tipo de proveedor</t>
  </si>
  <si>
    <t xml:space="preserve">Descripción y especificación</t>
  </si>
  <si>
    <t xml:space="preserve">Unidad</t>
  </si>
  <si>
    <t xml:space="preserve">Cantidad</t>
  </si>
  <si>
    <t xml:space="preserve">Fase</t>
  </si>
  <si>
    <t xml:space="preserve">O-01</t>
  </si>
  <si>
    <t xml:space="preserve">Constructora / naves metálicas</t>
  </si>
  <si>
    <t xml:space="preserve">Nave metálica 14 × 25 m (350 m²): fundaciones según estudio de suelos, pórticos metálicos, cerramientos laterales y cubierta de chapa prepintada, altura libre mínima 7 m, estructura dimensionada para monorriel de 3 a 5 t (a instalar en Fase II), canaletas y bajadas pluviales.</t>
  </si>
  <si>
    <t xml:space="preserve">gl</t>
  </si>
  <si>
    <t xml:space="preserve">Fase I</t>
  </si>
  <si>
    <t xml:space="preserve">O-02</t>
  </si>
  <si>
    <t xml:space="preserve">Piso de hormigón armado H30 para tránsito pesado, con juntas aserradas y terminación llaneada.</t>
  </si>
  <si>
    <t xml:space="preserve">m²</t>
  </si>
  <si>
    <t xml:space="preserve">O-03</t>
  </si>
  <si>
    <t xml:space="preserve">Portón industrial 8 × 6 m (seccional o corredizo) y puerta peatonal 1 × 2,1 m.</t>
  </si>
  <si>
    <t xml:space="preserve">O-04</t>
  </si>
  <si>
    <t xml:space="preserve">Instalador electricista matriculado</t>
  </si>
  <si>
    <t xml:space="preserve">Instalación eléctrica interior de la nave: tablero seccional, tomas industriales trifásicos y monofásicos, iluminación LED de nave.</t>
  </si>
  <si>
    <t xml:space="preserve">O-05</t>
  </si>
  <si>
    <t xml:space="preserve">Módulos industriales</t>
  </si>
  <si>
    <t xml:space="preserve">Módulo administrativo 10 × 6 m (60 m²) de alta aislación térmica: 2 oficinas y sala de reuniones, aberturas con DVH, instalación eléctrica y climatización. Incluye transporte, montaje y fundación.</t>
  </si>
  <si>
    <t xml:space="preserve">u</t>
  </si>
  <si>
    <t xml:space="preserve">O-06</t>
  </si>
  <si>
    <t xml:space="preserve">Módulo de servicios 5 × 8 m (40 m²): vestuarios con duchas, sanitarios y comedor del personal, instalación sanitaria y termotanque. Incluye transporte, montaje y fundación.</t>
  </si>
  <si>
    <t xml:space="preserve">O-07</t>
  </si>
  <si>
    <t xml:space="preserve">Alero metálico semicubierto 10 × 5 m, altura libre 5,5 m, cubierta de chapa, adosado al frente de la nave.</t>
  </si>
  <si>
    <t xml:space="preserve">O-08</t>
  </si>
  <si>
    <t xml:space="preserve">Platea de hormigón impermeable 10 × 5 m con pendiente y rejilla perimetral hacia la cámara separadora de hidrocarburos.</t>
  </si>
  <si>
    <t xml:space="preserve">O-09</t>
  </si>
  <si>
    <t xml:space="preserve">Movimiento de suelos</t>
  </si>
  <si>
    <t xml:space="preserve">Playón de maniobras: limpieza, compactación y enripiado técnico (espesor según estudio de suelos).</t>
  </si>
  <si>
    <t xml:space="preserve">O-10</t>
  </si>
  <si>
    <t xml:space="preserve">Cercos</t>
  </si>
  <si>
    <t xml:space="preserve">Cerco perimetral olímpico de 2 m de altura, con postes y alambre tejido.</t>
  </si>
  <si>
    <t xml:space="preserve">ml</t>
  </si>
  <si>
    <t xml:space="preserve">O-11</t>
  </si>
  <si>
    <t xml:space="preserve">Portón vehicular de 8 m (corredizo o de dos hojas) y puerta peatonal de 1,5 m.</t>
  </si>
  <si>
    <t xml:space="preserve">O-12</t>
  </si>
  <si>
    <t xml:space="preserve">Conexión eléctrica trifásica, pilar de medición y tablero general (potencia a definir con la distribuidora).</t>
  </si>
  <si>
    <t xml:space="preserve">O-13</t>
  </si>
  <si>
    <t xml:space="preserve">Sanitarista matriculado</t>
  </si>
  <si>
    <t xml:space="preserve">Conexión de agua y desagüe cloacal (a red o a biodigestor, según factibilidad del PIC).</t>
  </si>
  <si>
    <t xml:space="preserve">O-14</t>
  </si>
  <si>
    <t xml:space="preserve">Cámara separadora de hidrocarburos para el efluente de lavado, con cámara de toma de muestras.</t>
  </si>
  <si>
    <t xml:space="preserve">O-15</t>
  </si>
  <si>
    <t xml:space="preserve">Seguridad e higiene</t>
  </si>
  <si>
    <t xml:space="preserve">Protección contra incendio: matafuegos, señalización e iluminación de emergencia (Ley 19.587).</t>
  </si>
  <si>
    <t xml:space="preserve">O-16</t>
  </si>
  <si>
    <t xml:space="preserve">Geotecnia</t>
  </si>
  <si>
    <t xml:space="preserve">Estudio de suelos: ensayos de penetración e informe geotécnico.</t>
  </si>
  <si>
    <t xml:space="preserve">O-17</t>
  </si>
  <si>
    <t xml:space="preserve">Profesional matriculado</t>
  </si>
  <si>
    <t xml:space="preserve">Proyecto ejecutivo, plano de implantación en CAD, cálculo estructural y dirección de obra.</t>
  </si>
  <si>
    <t xml:space="preserve">E-01</t>
  </si>
  <si>
    <t xml:space="preserve">Equipos industriales</t>
  </si>
  <si>
    <t xml:space="preserve">Banco de prueba hidrostática para herramientas de pozo, con bomba de alta presión, registrador y recinto o pantalla de protección (presión de trabajo a definir según catálogo de herramientas).</t>
  </si>
  <si>
    <t xml:space="preserve">E-02</t>
  </si>
  <si>
    <t xml:space="preserve">Hidrolavadora industrial de agua caliente.</t>
  </si>
  <si>
    <t xml:space="preserve">E-03</t>
  </si>
  <si>
    <t xml:space="preserve">Almacenaje industrial</t>
  </si>
  <si>
    <t xml:space="preserve">Racks pesados para tubulares y herramientas largas (niveles y capacidad por nivel a definir).</t>
  </si>
  <si>
    <t xml:space="preserve">E-04</t>
  </si>
  <si>
    <t xml:space="preserve">Metrología</t>
  </si>
  <si>
    <t xml:space="preserve">Herramientas de taller y metrología: calibres, micrómetros, roscas patrón y torquímetros, con certificados de calibración trazables.</t>
  </si>
  <si>
    <t xml:space="preserve">E-05</t>
  </si>
  <si>
    <t xml:space="preserve">Informática</t>
  </si>
  <si>
    <t xml:space="preserve">Equipos informáticos, red y sistema de trazabilidad de herramientas por códigos QR (etapa inicial).</t>
  </si>
  <si>
    <t xml:space="preserve">F2-01</t>
  </si>
  <si>
    <t xml:space="preserve">Maquinaria / concesionario</t>
  </si>
  <si>
    <t xml:space="preserve">Autoelevador diésel de 2,5 a 3 t. Cotización indicativa para la Fase II.</t>
  </si>
  <si>
    <t xml:space="preserve">Fase II</t>
  </si>
  <si>
    <t xml:space="preserve">F2-02</t>
  </si>
  <si>
    <t xml:space="preserve">Equipos de izaje</t>
  </si>
  <si>
    <t xml:space="preserve">Monorriel o puente grúa de 3 a 5 t con aparejo eléctrico, sobre la estructura de la nave. Cotización indicativa para la Fase II.</t>
  </si>
  <si>
    <t xml:space="preserve">F2-03</t>
  </si>
  <si>
    <t xml:space="preserve">Concesionario</t>
  </si>
  <si>
    <t xml:space="preserve">Camioneta 4x4 doble cabina. Cotización indicativa para la Fase II.</t>
  </si>
  <si>
    <t xml:space="preserve">Ítems F2-xx: cotización indicativa para la Fase II, no forman parte de la inversión de la Fase I.</t>
  </si>
  <si>
    <t xml:space="preserve">Comparativo de ofertas (montos sin IVA)</t>
  </si>
  <si>
    <t xml:space="preserve">Completar el bloque de cada proveedor y su precio unitario por ítem (celdas amarillas). Mejor oferta = menor total sin IVA entre los proveedores que cotizaron.</t>
  </si>
  <si>
    <t xml:space="preserve">Proveedor 1</t>
  </si>
  <si>
    <t xml:space="preserve">Proveedor 2</t>
  </si>
  <si>
    <t xml:space="preserve">Proveedor 3</t>
  </si>
  <si>
    <t xml:space="preserve">Precios incluyen IVA (Sí/No)</t>
  </si>
  <si>
    <t xml:space="preserve">Plazo de entrega / ejecución</t>
  </si>
  <si>
    <t xml:space="preserve">Línea</t>
  </si>
  <si>
    <t xml:space="preserve">Descripción</t>
  </si>
  <si>
    <t xml:space="preserve">P1 precio unitario</t>
  </si>
  <si>
    <t xml:space="preserve">P1 total sin IVA</t>
  </si>
  <si>
    <t xml:space="preserve">P2 precio unitario</t>
  </si>
  <si>
    <t xml:space="preserve">P2 total sin IVA</t>
  </si>
  <si>
    <t xml:space="preserve">P3 precio unitario</t>
  </si>
  <si>
    <t xml:space="preserve">P3 total sin IVA</t>
  </si>
  <si>
    <t xml:space="preserve">Mejor oferta sin IVA</t>
  </si>
  <si>
    <t xml:space="preserve">Proveedor de la mejor oferta</t>
  </si>
  <si>
    <t xml:space="preserve">Observaciones</t>
  </si>
  <si>
    <t xml:space="preserve">L01</t>
  </si>
  <si>
    <t xml:space="preserve">L02</t>
  </si>
  <si>
    <t xml:space="preserve">L03</t>
  </si>
  <si>
    <t xml:space="preserve">L04</t>
  </si>
  <si>
    <t xml:space="preserve">L05</t>
  </si>
  <si>
    <t xml:space="preserve">L06</t>
  </si>
  <si>
    <t xml:space="preserve">L07</t>
  </si>
  <si>
    <t xml:space="preserve">O-18</t>
  </si>
  <si>
    <t xml:space="preserve">Tasas, derechos de construcción y permisos. Estimación interna: no se pide a proveedores.</t>
  </si>
  <si>
    <t xml:space="preserve">Estimación interna: cargarla como P1 con el valor estimado.</t>
  </si>
  <si>
    <t xml:space="preserve">L08</t>
  </si>
  <si>
    <t xml:space="preserve">L09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</si>
  <si>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</si>
  <si>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</si>
  <si>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</si>
  <si>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</si>
  <si>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</si>
  <si>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Subtotal Fase I</t>
  </si>
  <si>
    <t xml:space="preserve">Subtotal Fase II (indicativo)</t>
  </si>
  <si>
    <t xml:space="preserve">Los subtotales por proveedor solo suman los ítems que cada uno cotizó.</t>
  </si>
  <si>
    <t xml:space="preserve">Resumen: mejor oferta contra el monto declarado en la DDJJ</t>
  </si>
  <si>
    <t xml:space="preserve">Referencia: carpeta DDJJ, Paso 3 (Fase I declarada: $516 M sin IVA; Fase II indicativa: $130 M sin IVA). Mejor oferta sin IVA, tomada de «Comparativo».</t>
  </si>
  <si>
    <t xml:space="preserve">Concepto</t>
  </si>
  <si>
    <t xml:space="preserve">Grupo</t>
  </si>
  <si>
    <t xml:space="preserve">Referencia DDJJ</t>
  </si>
  <si>
    <t xml:space="preserve">Mejor oferta (suma de ítems)</t>
  </si>
  <si>
    <t xml:space="preserve">Diferencia</t>
  </si>
  <si>
    <t xml:space="preserve">Desvío</t>
  </si>
  <si>
    <t xml:space="preserve">Ítems</t>
  </si>
  <si>
    <t xml:space="preserve">Cotizados</t>
  </si>
  <si>
    <t xml:space="preserve">Estado</t>
  </si>
  <si>
    <t xml:space="preserve">Nave taller y depósito 350 m²</t>
  </si>
  <si>
    <t xml:space="preserve">Obra</t>
  </si>
  <si>
    <t xml:space="preserve">Módulo administrativo 60 m²</t>
  </si>
  <si>
    <t xml:space="preserve">Módulo de servicios, vestuarios y comedor 40 m²</t>
  </si>
  <si>
    <t xml:space="preserve">Alero semicubierto 50 m² con platea impermeable</t>
  </si>
  <si>
    <t xml:space="preserve">Playón, cerco perimetral y portón</t>
  </si>
  <si>
    <t xml:space="preserve">Servicios e instalaciones</t>
  </si>
  <si>
    <t xml:space="preserve">Proyecto, dirección de obra, estudio de suelos y permisos</t>
  </si>
  <si>
    <t xml:space="preserve">Banco de prueba hidrostática y lavadora</t>
  </si>
  <si>
    <t xml:space="preserve">Equipamiento</t>
  </si>
  <si>
    <t xml:space="preserve">Racks pesados</t>
  </si>
  <si>
    <t xml:space="preserve">Herramientas de taller y metrología</t>
  </si>
  <si>
    <t xml:space="preserve">Informática y trazabilidad QR</t>
  </si>
  <si>
    <t xml:space="preserve">Autoelevador</t>
  </si>
  <si>
    <t xml:space="preserve">Monorriel o puente grúa 3 a 5 t</t>
  </si>
  <si>
    <t xml:space="preserve">Camioneta 4x4</t>
  </si>
  <si>
    <t xml:space="preserve">Obra — Fase I</t>
  </si>
  <si>
    <t xml:space="preserve">Equipamiento — Fase I</t>
  </si>
  <si>
    <t xml:space="preserve">TOTAL FASE I (monto declarado)</t>
  </si>
  <si>
    <t xml:space="preserve">Fase II (indicativo)</t>
  </si>
  <si>
    <t xml:space="preserve">La diferencia y el desvío solo se calculan cuando la línea tiene al menos un ítem cotizado; una línea «Incompleta» subestima el costo real.</t>
  </si>
  <si>
    <t xml:space="preserve">Línea L07 incluye tasas y permisos (O-18), que no se piden a proveedores: cargar la estimación interna en «Comparativo».</t>
  </si>
  <si>
    <t xml:space="preserve">La DDJJ se declara sin IVA: las referencias y las ofertas se comparan sobre la misma base.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</si>
</sst>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&quot;$ &quot;#,##0;&quot;($ &quot;#,##0\);\-"/>
    <numFmt numFmtId="168" formatCode="0.0%;\(0.0%\);\-"/>
    <numFmt numFmtId="169" formatCode="0"/>
    <numFmt numFmtId="170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0243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B5C"/>
        <bgColor rgb="FF10243A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/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B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55555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6A6A6"/>
      <rgbColor rgb="FF1F3B5C"/>
      <rgbColor rgb="FF339966"/>
      <rgbColor rgb="FF003300"/>
      <rgbColor rgb="FF333300"/>
      <rgbColor rgb="FF993300"/>
      <rgbColor rgb="FF993366"/>
      <rgbColor rgb="FF333399"/>
      <rgbColor rgb="FF1024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3.8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23.85" hidden="false" customHeight="false" outlineLevel="0" collapsed="false">
      <c r="B7" s="3" t="s">
        <v>6</v>
      </c>
      <c r="C7" s="4" t="s">
        <v>7</v>
      </c>
    </row>
    <row r="8" customFormat="false" ht="23.85" hidden="false" customHeight="false" outlineLevel="0" collapsed="false">
      <c r="B8" s="3" t="s">
        <v>8</v>
      </c>
      <c r="C8" s="4" t="s">
        <v>9</v>
      </c>
    </row>
    <row r="9" customFormat="false" ht="23.8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4" t="s">
        <v>13</v>
      </c>
    </row>
    <row r="11" customFormat="false" ht="23.85" hidden="false" customHeight="false" outlineLevel="0" collapsed="false">
      <c r="B11" s="3" t="s">
        <v>14</v>
      </c>
      <c r="C11" s="4" t="s">
        <v>15</v>
      </c>
    </row>
    <row r="12" customFormat="false" ht="23.85" hidden="false" customHeight="false" outlineLevel="0" collapsed="false">
      <c r="B12" s="3" t="s">
        <v>16</v>
      </c>
      <c r="C12" s="4" t="s">
        <v>17</v>
      </c>
    </row>
    <row r="13" customFormat="false" ht="23.85" hidden="false" customHeight="false" outlineLevel="0" collapsed="false">
      <c r="B13" s="3" t="s">
        <v>18</v>
      </c>
      <c r="C13" s="4" t="s">
        <v>19</v>
      </c>
    </row>
    <row r="14" customFormat="false" ht="15" hidden="false" customHeight="false" outlineLevel="0" collapsed="false">
      <c r="B14" s="3" t="s">
        <v>20</v>
      </c>
      <c r="C14" s="4" t="s">
        <v>21</v>
      </c>
    </row>
    <row r="16" customFormat="false" ht="15" hidden="false" customHeight="false" outlineLevel="0" collapsed="false">
      <c r="B16" s="5" t="s">
        <v>22</v>
      </c>
    </row>
    <row r="17" customFormat="false" ht="15" hidden="false" customHeight="false" outlineLevel="0" collapsed="false">
      <c r="B17" s="6" t="s">
        <v>23</v>
      </c>
      <c r="C17" s="6" t="s">
        <v>24</v>
      </c>
    </row>
    <row r="18" customFormat="false" ht="15" hidden="false" customHeight="false" outlineLevel="0" collapsed="false">
      <c r="B18" s="7" t="s">
        <v>25</v>
      </c>
      <c r="C18" s="8" t="s">
        <v>26</v>
      </c>
    </row>
    <row r="19" customFormat="false" ht="15" hidden="false" customHeight="false" outlineLevel="0" collapsed="false">
      <c r="B19" s="7" t="s">
        <v>27</v>
      </c>
      <c r="C19" s="8" t="s">
        <v>28</v>
      </c>
    </row>
    <row r="20" customFormat="false" ht="15" hidden="false" customHeight="false" outlineLevel="0" collapsed="false">
      <c r="B20" s="7" t="s">
        <v>29</v>
      </c>
      <c r="C20" s="8" t="s">
        <v>30</v>
      </c>
    </row>
    <row r="21" customFormat="false" ht="15" hidden="false" customHeight="false" outlineLevel="0" collapsed="false">
      <c r="B21" s="7" t="s">
        <v>31</v>
      </c>
      <c r="C21" s="8" t="s">
        <v>32</v>
      </c>
    </row>
    <row r="22" customFormat="false" ht="15" hidden="false" customHeight="false" outlineLevel="0" collapsed="false">
      <c r="B22" s="7" t="s">
        <v>33</v>
      </c>
      <c r="C22" s="8" t="s">
        <v>34</v>
      </c>
    </row>
    <row r="23" customFormat="false" ht="15" hidden="false" customHeight="false" outlineLevel="0" collapsed="false">
      <c r="B23" s="7" t="s">
        <v>35</v>
      </c>
      <c r="C23" s="8" t="s">
        <v>36</v>
      </c>
    </row>
    <row r="24" customFormat="false" ht="15" hidden="false" customHeight="false" outlineLevel="0" collapsed="false">
      <c r="B24" s="7" t="s">
        <v>37</v>
      </c>
      <c r="C24" s="8" t="s">
        <v>38</v>
      </c>
    </row>
    <row r="25" customFormat="false" ht="15" hidden="false" customHeight="false" outlineLevel="0" collapsed="false">
      <c r="B25" s="7" t="s">
        <v>39</v>
      </c>
      <c r="C25" s="8" t="s">
        <v>40</v>
      </c>
    </row>
    <row r="26" customFormat="false" ht="15" hidden="false" customHeight="false" outlineLevel="0" collapsed="false">
      <c r="B26" s="7" t="s">
        <v>41</v>
      </c>
      <c r="C26" s="8" t="s">
        <v>42</v>
      </c>
    </row>
    <row r="27" customFormat="false" ht="15" hidden="false" customHeight="false" outlineLevel="0" collapsed="false">
      <c r="B27" s="7" t="s">
        <v>43</v>
      </c>
      <c r="C27" s="8" t="s">
        <v>44</v>
      </c>
    </row>
    <row r="28" customFormat="false" ht="15" hidden="false" customHeight="false" outlineLevel="0" collapsed="false">
      <c r="B28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8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32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9" t="s">
        <v>48</v>
      </c>
      <c r="B4" s="9"/>
      <c r="C4" s="10" t="s">
        <v>49</v>
      </c>
    </row>
    <row r="5" customFormat="false" ht="15" hidden="false" customHeight="false" outlineLevel="0" collapsed="false">
      <c r="A5" s="9" t="s">
        <v>50</v>
      </c>
      <c r="B5" s="9"/>
      <c r="C5" s="10" t="s">
        <v>51</v>
      </c>
    </row>
    <row r="6" customFormat="false" ht="15" hidden="false" customHeight="false" outlineLevel="0" collapsed="false">
      <c r="A6" s="9" t="s">
        <v>52</v>
      </c>
      <c r="B6" s="9"/>
      <c r="C6" s="10" t="s">
        <v>53</v>
      </c>
    </row>
    <row r="8" customFormat="false" ht="15" hidden="false" customHeight="false" outlineLevel="0" collapsed="false">
      <c r="A8" s="5" t="s">
        <v>54</v>
      </c>
    </row>
    <row r="9" customFormat="false" ht="15" hidden="false" customHeight="false" outlineLevel="0" collapsed="false">
      <c r="A9" s="11" t="s">
        <v>55</v>
      </c>
      <c r="B9" s="12" t="s">
        <v>56</v>
      </c>
      <c r="C9" s="12"/>
      <c r="D9" s="12"/>
      <c r="E9" s="12"/>
      <c r="F9" s="12"/>
    </row>
    <row r="10" customFormat="false" ht="15" hidden="false" customHeight="false" outlineLevel="0" collapsed="false">
      <c r="A10" s="11" t="s">
        <v>55</v>
      </c>
      <c r="B10" s="12" t="s">
        <v>57</v>
      </c>
      <c r="C10" s="12"/>
      <c r="D10" s="12"/>
      <c r="E10" s="12"/>
      <c r="F10" s="12"/>
    </row>
    <row r="11" customFormat="false" ht="15" hidden="false" customHeight="false" outlineLevel="0" collapsed="false">
      <c r="A11" s="11" t="s">
        <v>55</v>
      </c>
      <c r="B11" s="12" t="s">
        <v>58</v>
      </c>
      <c r="C11" s="12"/>
      <c r="D11" s="12"/>
      <c r="E11" s="12"/>
      <c r="F11" s="12"/>
    </row>
    <row r="12" customFormat="false" ht="15" hidden="false" customHeight="false" outlineLevel="0" collapsed="false">
      <c r="A12" s="11" t="s">
        <v>55</v>
      </c>
      <c r="B12" s="12" t="s">
        <v>59</v>
      </c>
      <c r="C12" s="12"/>
      <c r="D12" s="12"/>
      <c r="E12" s="12"/>
      <c r="F12" s="12"/>
    </row>
    <row r="13" customFormat="false" ht="15" hidden="false" customHeight="false" outlineLevel="0" collapsed="false">
      <c r="A13" s="11" t="s">
        <v>55</v>
      </c>
      <c r="B13" s="12" t="s">
        <v>60</v>
      </c>
      <c r="C13" s="12"/>
      <c r="D13" s="12"/>
      <c r="E13" s="12"/>
      <c r="F13" s="12"/>
    </row>
    <row r="15" customFormat="false" ht="15" hidden="false" customHeight="false" outlineLevel="0" collapsed="false">
      <c r="A15" s="13" t="s">
        <v>61</v>
      </c>
      <c r="B15" s="13" t="s">
        <v>62</v>
      </c>
      <c r="C15" s="13" t="s">
        <v>63</v>
      </c>
      <c r="D15" s="13" t="s">
        <v>64</v>
      </c>
      <c r="E15" s="13" t="s">
        <v>65</v>
      </c>
      <c r="F15" s="13" t="s">
        <v>66</v>
      </c>
    </row>
    <row r="16" customFormat="false" ht="35.05" hidden="false" customHeight="false" outlineLevel="0" collapsed="false">
      <c r="A16" s="14" t="s">
        <v>67</v>
      </c>
      <c r="B16" s="15" t="s">
        <v>68</v>
      </c>
      <c r="C16" s="15" t="s">
        <v>69</v>
      </c>
      <c r="D16" s="14" t="s">
        <v>70</v>
      </c>
      <c r="E16" s="16" t="n">
        <v>1</v>
      </c>
      <c r="F16" s="14" t="s">
        <v>71</v>
      </c>
    </row>
    <row r="17" customFormat="false" ht="15" hidden="false" customHeight="false" outlineLevel="0" collapsed="false">
      <c r="A17" s="14" t="s">
        <v>72</v>
      </c>
      <c r="B17" s="15" t="s">
        <v>68</v>
      </c>
      <c r="C17" s="15" t="s">
        <v>73</v>
      </c>
      <c r="D17" s="14" t="s">
        <v>74</v>
      </c>
      <c r="E17" s="16" t="n">
        <v>350</v>
      </c>
      <c r="F17" s="14" t="s">
        <v>71</v>
      </c>
    </row>
    <row r="18" customFormat="false" ht="15" hidden="false" customHeight="false" outlineLevel="0" collapsed="false">
      <c r="A18" s="14" t="s">
        <v>75</v>
      </c>
      <c r="B18" s="15" t="s">
        <v>68</v>
      </c>
      <c r="C18" s="15" t="s">
        <v>76</v>
      </c>
      <c r="D18" s="14" t="s">
        <v>70</v>
      </c>
      <c r="E18" s="16" t="n">
        <v>1</v>
      </c>
      <c r="F18" s="14" t="s">
        <v>71</v>
      </c>
    </row>
    <row r="19" customFormat="false" ht="23.85" hidden="false" customHeight="false" outlineLevel="0" collapsed="false">
      <c r="A19" s="14" t="s">
        <v>77</v>
      </c>
      <c r="B19" s="15" t="s">
        <v>78</v>
      </c>
      <c r="C19" s="15" t="s">
        <v>79</v>
      </c>
      <c r="D19" s="14" t="s">
        <v>70</v>
      </c>
      <c r="E19" s="16" t="n">
        <v>1</v>
      </c>
      <c r="F19" s="14" t="s">
        <v>71</v>
      </c>
    </row>
    <row r="20" customFormat="false" ht="23.85" hidden="false" customHeight="false" outlineLevel="0" collapsed="false">
      <c r="A20" s="14" t="s">
        <v>80</v>
      </c>
      <c r="B20" s="15" t="s">
        <v>81</v>
      </c>
      <c r="C20" s="15" t="s">
        <v>82</v>
      </c>
      <c r="D20" s="14" t="s">
        <v>83</v>
      </c>
      <c r="E20" s="16" t="n">
        <v>1</v>
      </c>
      <c r="F20" s="14" t="s">
        <v>71</v>
      </c>
    </row>
    <row r="21" customFormat="false" ht="23.85" hidden="false" customHeight="false" outlineLevel="0" collapsed="false">
      <c r="A21" s="14" t="s">
        <v>84</v>
      </c>
      <c r="B21" s="15" t="s">
        <v>81</v>
      </c>
      <c r="C21" s="15" t="s">
        <v>85</v>
      </c>
      <c r="D21" s="14" t="s">
        <v>83</v>
      </c>
      <c r="E21" s="16" t="n">
        <v>1</v>
      </c>
      <c r="F21" s="14" t="s">
        <v>71</v>
      </c>
    </row>
    <row r="22" customFormat="false" ht="23.85" hidden="false" customHeight="false" outlineLevel="0" collapsed="false">
      <c r="A22" s="14" t="s">
        <v>86</v>
      </c>
      <c r="B22" s="15" t="s">
        <v>68</v>
      </c>
      <c r="C22" s="15" t="s">
        <v>87</v>
      </c>
      <c r="D22" s="14" t="s">
        <v>74</v>
      </c>
      <c r="E22" s="16" t="n">
        <v>50</v>
      </c>
      <c r="F22" s="14" t="s">
        <v>71</v>
      </c>
    </row>
    <row r="23" customFormat="false" ht="23.85" hidden="false" customHeight="false" outlineLevel="0" collapsed="false">
      <c r="A23" s="14" t="s">
        <v>88</v>
      </c>
      <c r="B23" s="15" t="s">
        <v>68</v>
      </c>
      <c r="C23" s="15" t="s">
        <v>89</v>
      </c>
      <c r="D23" s="14" t="s">
        <v>74</v>
      </c>
      <c r="E23" s="16" t="n">
        <v>50</v>
      </c>
      <c r="F23" s="14" t="s">
        <v>71</v>
      </c>
    </row>
    <row r="24" customFormat="false" ht="23.85" hidden="false" customHeight="false" outlineLevel="0" collapsed="false">
      <c r="A24" s="14" t="s">
        <v>90</v>
      </c>
      <c r="B24" s="15" t="s">
        <v>91</v>
      </c>
      <c r="C24" s="15" t="s">
        <v>92</v>
      </c>
      <c r="D24" s="14" t="s">
        <v>74</v>
      </c>
      <c r="E24" s="16" t="n">
        <v>970</v>
      </c>
      <c r="F24" s="14" t="s">
        <v>71</v>
      </c>
    </row>
    <row r="25" customFormat="false" ht="15" hidden="false" customHeight="false" outlineLevel="0" collapsed="false">
      <c r="A25" s="14" t="s">
        <v>93</v>
      </c>
      <c r="B25" s="15" t="s">
        <v>94</v>
      </c>
      <c r="C25" s="15" t="s">
        <v>95</v>
      </c>
      <c r="D25" s="14" t="s">
        <v>96</v>
      </c>
      <c r="E25" s="16" t="n">
        <v>172</v>
      </c>
      <c r="F25" s="14" t="s">
        <v>71</v>
      </c>
    </row>
    <row r="26" customFormat="false" ht="15" hidden="false" customHeight="false" outlineLevel="0" collapsed="false">
      <c r="A26" s="14" t="s">
        <v>97</v>
      </c>
      <c r="B26" s="15" t="s">
        <v>94</v>
      </c>
      <c r="C26" s="15" t="s">
        <v>98</v>
      </c>
      <c r="D26" s="14" t="s">
        <v>70</v>
      </c>
      <c r="E26" s="16" t="n">
        <v>1</v>
      </c>
      <c r="F26" s="14" t="s">
        <v>71</v>
      </c>
    </row>
    <row r="27" customFormat="false" ht="23.85" hidden="false" customHeight="false" outlineLevel="0" collapsed="false">
      <c r="A27" s="14" t="s">
        <v>99</v>
      </c>
      <c r="B27" s="15" t="s">
        <v>78</v>
      </c>
      <c r="C27" s="15" t="s">
        <v>100</v>
      </c>
      <c r="D27" s="14" t="s">
        <v>70</v>
      </c>
      <c r="E27" s="16" t="n">
        <v>1</v>
      </c>
      <c r="F27" s="14" t="s">
        <v>71</v>
      </c>
    </row>
    <row r="28" customFormat="false" ht="15" hidden="false" customHeight="false" outlineLevel="0" collapsed="false">
      <c r="A28" s="14" t="s">
        <v>101</v>
      </c>
      <c r="B28" s="15" t="s">
        <v>102</v>
      </c>
      <c r="C28" s="15" t="s">
        <v>103</v>
      </c>
      <c r="D28" s="14" t="s">
        <v>70</v>
      </c>
      <c r="E28" s="16" t="n">
        <v>1</v>
      </c>
      <c r="F28" s="14" t="s">
        <v>71</v>
      </c>
    </row>
    <row r="29" customFormat="false" ht="23.85" hidden="false" customHeight="false" outlineLevel="0" collapsed="false">
      <c r="A29" s="14" t="s">
        <v>104</v>
      </c>
      <c r="B29" s="15" t="s">
        <v>102</v>
      </c>
      <c r="C29" s="15" t="s">
        <v>105</v>
      </c>
      <c r="D29" s="14" t="s">
        <v>83</v>
      </c>
      <c r="E29" s="16" t="n">
        <v>1</v>
      </c>
      <c r="F29" s="14" t="s">
        <v>71</v>
      </c>
    </row>
    <row r="30" customFormat="false" ht="15" hidden="false" customHeight="false" outlineLevel="0" collapsed="false">
      <c r="A30" s="14" t="s">
        <v>106</v>
      </c>
      <c r="B30" s="15" t="s">
        <v>107</v>
      </c>
      <c r="C30" s="15" t="s">
        <v>108</v>
      </c>
      <c r="D30" s="14" t="s">
        <v>70</v>
      </c>
      <c r="E30" s="16" t="n">
        <v>1</v>
      </c>
      <c r="F30" s="14" t="s">
        <v>71</v>
      </c>
    </row>
    <row r="31" customFormat="false" ht="15" hidden="false" customHeight="false" outlineLevel="0" collapsed="false">
      <c r="A31" s="14" t="s">
        <v>109</v>
      </c>
      <c r="B31" s="15" t="s">
        <v>110</v>
      </c>
      <c r="C31" s="15" t="s">
        <v>111</v>
      </c>
      <c r="D31" s="14" t="s">
        <v>70</v>
      </c>
      <c r="E31" s="16" t="n">
        <v>1</v>
      </c>
      <c r="F31" s="14" t="s">
        <v>71</v>
      </c>
    </row>
    <row r="32" customFormat="false" ht="15" hidden="false" customHeight="false" outlineLevel="0" collapsed="false">
      <c r="A32" s="14" t="s">
        <v>112</v>
      </c>
      <c r="B32" s="15" t="s">
        <v>113</v>
      </c>
      <c r="C32" s="15" t="s">
        <v>114</v>
      </c>
      <c r="D32" s="14" t="s">
        <v>70</v>
      </c>
      <c r="E32" s="16" t="n">
        <v>1</v>
      </c>
      <c r="F32" s="14" t="s">
        <v>71</v>
      </c>
    </row>
    <row r="33" customFormat="false" ht="23.85" hidden="false" customHeight="false" outlineLevel="0" collapsed="false">
      <c r="A33" s="14" t="s">
        <v>115</v>
      </c>
      <c r="B33" s="15" t="s">
        <v>116</v>
      </c>
      <c r="C33" s="15" t="s">
        <v>117</v>
      </c>
      <c r="D33" s="14" t="s">
        <v>83</v>
      </c>
      <c r="E33" s="16" t="n">
        <v>1</v>
      </c>
      <c r="F33" s="14" t="s">
        <v>71</v>
      </c>
    </row>
    <row r="34" customFormat="false" ht="15" hidden="false" customHeight="false" outlineLevel="0" collapsed="false">
      <c r="A34" s="14" t="s">
        <v>118</v>
      </c>
      <c r="B34" s="15" t="s">
        <v>116</v>
      </c>
      <c r="C34" s="15" t="s">
        <v>119</v>
      </c>
      <c r="D34" s="14" t="s">
        <v>83</v>
      </c>
      <c r="E34" s="16" t="n">
        <v>1</v>
      </c>
      <c r="F34" s="14" t="s">
        <v>71</v>
      </c>
    </row>
    <row r="35" customFormat="false" ht="15" hidden="false" customHeight="false" outlineLevel="0" collapsed="false">
      <c r="A35" s="14" t="s">
        <v>120</v>
      </c>
      <c r="B35" s="15" t="s">
        <v>121</v>
      </c>
      <c r="C35" s="15" t="s">
        <v>122</v>
      </c>
      <c r="D35" s="14" t="s">
        <v>70</v>
      </c>
      <c r="E35" s="16" t="n">
        <v>1</v>
      </c>
      <c r="F35" s="14" t="s">
        <v>71</v>
      </c>
    </row>
    <row r="36" customFormat="false" ht="23.85" hidden="false" customHeight="false" outlineLevel="0" collapsed="false">
      <c r="A36" s="14" t="s">
        <v>123</v>
      </c>
      <c r="B36" s="15" t="s">
        <v>124</v>
      </c>
      <c r="C36" s="15" t="s">
        <v>125</v>
      </c>
      <c r="D36" s="14" t="s">
        <v>70</v>
      </c>
      <c r="E36" s="16" t="n">
        <v>1</v>
      </c>
      <c r="F36" s="14" t="s">
        <v>71</v>
      </c>
    </row>
    <row r="37" customFormat="false" ht="15" hidden="false" customHeight="false" outlineLevel="0" collapsed="false">
      <c r="A37" s="14" t="s">
        <v>126</v>
      </c>
      <c r="B37" s="15" t="s">
        <v>127</v>
      </c>
      <c r="C37" s="15" t="s">
        <v>128</v>
      </c>
      <c r="D37" s="14" t="s">
        <v>70</v>
      </c>
      <c r="E37" s="16" t="n">
        <v>1</v>
      </c>
      <c r="F37" s="14" t="s">
        <v>71</v>
      </c>
    </row>
    <row r="38" customFormat="false" ht="15" hidden="false" customHeight="false" outlineLevel="0" collapsed="false">
      <c r="A38" s="14" t="s">
        <v>129</v>
      </c>
      <c r="B38" s="15" t="s">
        <v>130</v>
      </c>
      <c r="C38" s="15" t="s">
        <v>131</v>
      </c>
      <c r="D38" s="14" t="s">
        <v>83</v>
      </c>
      <c r="E38" s="16" t="n">
        <v>1</v>
      </c>
      <c r="F38" s="14" t="s">
        <v>132</v>
      </c>
    </row>
    <row r="39" customFormat="false" ht="23.85" hidden="false" customHeight="false" outlineLevel="0" collapsed="false">
      <c r="A39" s="14" t="s">
        <v>133</v>
      </c>
      <c r="B39" s="15" t="s">
        <v>134</v>
      </c>
      <c r="C39" s="15" t="s">
        <v>135</v>
      </c>
      <c r="D39" s="14" t="s">
        <v>83</v>
      </c>
      <c r="E39" s="16" t="n">
        <v>1</v>
      </c>
      <c r="F39" s="14" t="s">
        <v>132</v>
      </c>
    </row>
    <row r="40" customFormat="false" ht="15" hidden="false" customHeight="false" outlineLevel="0" collapsed="false">
      <c r="A40" s="14" t="s">
        <v>136</v>
      </c>
      <c r="B40" s="15" t="s">
        <v>137</v>
      </c>
      <c r="C40" s="15" t="s">
        <v>138</v>
      </c>
      <c r="D40" s="14" t="s">
        <v>83</v>
      </c>
      <c r="E40" s="16" t="n">
        <v>1</v>
      </c>
      <c r="F40" s="14" t="s">
        <v>132</v>
      </c>
    </row>
    <row r="42" customFormat="false" ht="15" hidden="false" customHeight="false" outlineLevel="0" collapsed="false">
      <c r="A42" s="2" t="s">
        <v>139</v>
      </c>
    </row>
  </sheetData>
  <autoFilter ref="A15:F40"/>
  <mergeCells count="8">
    <mergeCell ref="A4:B4"/>
    <mergeCell ref="A5:B5"/>
    <mergeCell ref="A6:B6"/>
    <mergeCell ref="B9:F9"/>
    <mergeCell ref="B10:F10"/>
    <mergeCell ref="B11:F11"/>
    <mergeCell ref="B12:F12"/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5" topLeftCell="E16" activePane="bottomRight" state="frozen"/>
      <selection pane="topLeft" activeCell="A1" activeCellId="0" sqref="A1"/>
      <selection pane="topRight" activeCell="E1" activeCellId="0" sqref="E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58"/>
    <col collapsed="false" customWidth="true" hidden="false" outlineLevel="0" max="5" min="5" style="0" width="7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3" min="12" style="0" width="16"/>
    <col collapsed="false" customWidth="true" hidden="false" outlineLevel="0" max="14" min="14" style="0" width="24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4" customFormat="false" ht="15" hidden="false" customHeight="true" outlineLevel="0" collapsed="false">
      <c r="G4" s="17" t="s">
        <v>142</v>
      </c>
      <c r="H4" s="17"/>
      <c r="I4" s="17" t="s">
        <v>143</v>
      </c>
      <c r="J4" s="17"/>
      <c r="K4" s="17" t="s">
        <v>144</v>
      </c>
      <c r="L4" s="17"/>
    </row>
    <row r="5" customFormat="false" ht="15" hidden="false" customHeight="false" outlineLevel="0" collapsed="false">
      <c r="F5" s="18" t="s">
        <v>25</v>
      </c>
      <c r="G5" s="19"/>
      <c r="H5" s="19"/>
      <c r="I5" s="19"/>
      <c r="J5" s="19"/>
      <c r="K5" s="19"/>
      <c r="L5" s="19"/>
    </row>
    <row r="6" customFormat="false" ht="15" hidden="false" customHeight="false" outlineLevel="0" collapsed="false">
      <c r="F6" s="18" t="s">
        <v>27</v>
      </c>
      <c r="G6" s="19"/>
      <c r="H6" s="19"/>
      <c r="I6" s="19"/>
      <c r="J6" s="19"/>
      <c r="K6" s="19"/>
      <c r="L6" s="19"/>
    </row>
    <row r="7" customFormat="false" ht="15" hidden="false" customHeight="false" outlineLevel="0" collapsed="false">
      <c r="F7" s="18" t="s">
        <v>29</v>
      </c>
      <c r="G7" s="19"/>
      <c r="H7" s="19"/>
      <c r="I7" s="19"/>
      <c r="J7" s="19"/>
      <c r="K7" s="19"/>
      <c r="L7" s="19"/>
    </row>
    <row r="8" customFormat="false" ht="15" hidden="false" customHeight="false" outlineLevel="0" collapsed="false">
      <c r="F8" s="18" t="s">
        <v>31</v>
      </c>
      <c r="G8" s="19"/>
      <c r="H8" s="19"/>
      <c r="I8" s="19"/>
      <c r="J8" s="19"/>
      <c r="K8" s="19"/>
      <c r="L8" s="19"/>
    </row>
    <row r="9" customFormat="false" ht="15" hidden="false" customHeight="false" outlineLevel="0" collapsed="false">
      <c r="F9" s="18" t="s">
        <v>33</v>
      </c>
      <c r="G9" s="19"/>
      <c r="H9" s="19"/>
      <c r="I9" s="19"/>
      <c r="J9" s="19"/>
      <c r="K9" s="19"/>
      <c r="L9" s="19"/>
    </row>
    <row r="10" customFormat="false" ht="23.85" hidden="false" customHeight="true" outlineLevel="0" collapsed="false">
      <c r="F10" s="18" t="s">
        <v>145</v>
      </c>
      <c r="G10" s="19" t="s">
        <v>36</v>
      </c>
      <c r="H10" s="19"/>
      <c r="I10" s="19" t="s">
        <v>36</v>
      </c>
      <c r="J10" s="19"/>
      <c r="K10" s="19" t="s">
        <v>36</v>
      </c>
      <c r="L10" s="19"/>
    </row>
    <row r="11" customFormat="false" ht="15" hidden="false" customHeight="false" outlineLevel="0" collapsed="false">
      <c r="F11" s="18" t="s">
        <v>37</v>
      </c>
      <c r="G11" s="20" t="n">
        <v>0.21</v>
      </c>
      <c r="H11" s="20"/>
      <c r="I11" s="20" t="n">
        <v>0.21</v>
      </c>
      <c r="J11" s="20"/>
      <c r="K11" s="20" t="n">
        <v>0.21</v>
      </c>
      <c r="L11" s="20"/>
    </row>
    <row r="12" customFormat="false" ht="23.85" hidden="false" customHeight="false" outlineLevel="0" collapsed="false">
      <c r="F12" s="18" t="s">
        <v>146</v>
      </c>
      <c r="G12" s="19"/>
      <c r="H12" s="19"/>
      <c r="I12" s="19"/>
      <c r="J12" s="19"/>
      <c r="K12" s="19"/>
      <c r="L12" s="19"/>
    </row>
    <row r="13" customFormat="false" ht="15" hidden="false" customHeight="false" outlineLevel="0" collapsed="false">
      <c r="F13" s="18" t="s">
        <v>41</v>
      </c>
      <c r="G13" s="19"/>
      <c r="H13" s="19"/>
      <c r="I13" s="19"/>
      <c r="J13" s="19"/>
      <c r="K13" s="19"/>
      <c r="L13" s="19"/>
    </row>
    <row r="15" customFormat="false" ht="30" hidden="false" customHeight="true" outlineLevel="0" collapsed="false">
      <c r="A15" s="13" t="s">
        <v>61</v>
      </c>
      <c r="B15" s="13" t="s">
        <v>147</v>
      </c>
      <c r="C15" s="13" t="s">
        <v>66</v>
      </c>
      <c r="D15" s="13" t="s">
        <v>148</v>
      </c>
      <c r="E15" s="13" t="s">
        <v>64</v>
      </c>
      <c r="F15" s="13" t="s">
        <v>65</v>
      </c>
      <c r="G15" s="13" t="s">
        <v>149</v>
      </c>
      <c r="H15" s="13" t="s">
        <v>150</v>
      </c>
      <c r="I15" s="13" t="s">
        <v>151</v>
      </c>
      <c r="J15" s="13" t="s">
        <v>152</v>
      </c>
      <c r="K15" s="13" t="s">
        <v>153</v>
      </c>
      <c r="L15" s="13" t="s">
        <v>154</v>
      </c>
      <c r="M15" s="13" t="s">
        <v>155</v>
      </c>
      <c r="N15" s="13" t="s">
        <v>156</v>
      </c>
      <c r="O15" s="13" t="s">
        <v>157</v>
      </c>
    </row>
    <row r="16" customFormat="false" ht="57.45" hidden="false" customHeight="false" outlineLevel="0" collapsed="false">
      <c r="A16" s="14" t="s">
        <v>67</v>
      </c>
      <c r="B16" s="14" t="s">
        <v>158</v>
      </c>
      <c r="C16" s="14" t="s">
        <v>71</v>
      </c>
      <c r="D16" s="15" t="s">
        <v>69</v>
      </c>
      <c r="E16" s="14" t="s">
        <v>70</v>
      </c>
      <c r="F16" s="16" t="n">
        <v>1</v>
      </c>
      <c r="G16" s="21"/>
      <c r="H16" s="22" t="str">
        <f aca="false">IF(G16="","",G16*$F16/IF(G$10="Sí",1+G$11,1))</f>
        <v/>
      </c>
      <c r="I16" s="21"/>
      <c r="J16" s="22" t="str">
        <f aca="false">IF(I16="","",I16*$F16/IF(I$10="Sí",1+I$11,1))</f>
        <v/>
      </c>
      <c r="K16" s="21"/>
      <c r="L16" s="22" t="str">
        <f aca="false">IF(K16="","",K16*$F16/IF(K$10="Sí",1+K$11,1))</f>
        <v/>
      </c>
      <c r="M16" s="23" t="str">
        <f aca="false">IF(COUNT(H16,J16,L16)=0,"",MIN(H16,J16,L16))</f>
        <v/>
      </c>
      <c r="N16" s="15" t="str">
        <f aca="false">IF(M16="","",IF(M16=H16,$G$5,IF(M16=J16,$I$5,$K$5)))</f>
        <v/>
      </c>
      <c r="O16" s="15"/>
    </row>
    <row r="17" customFormat="false" ht="23.85" hidden="false" customHeight="false" outlineLevel="0" collapsed="false">
      <c r="A17" s="14" t="s">
        <v>72</v>
      </c>
      <c r="B17" s="14" t="s">
        <v>158</v>
      </c>
      <c r="C17" s="14" t="s">
        <v>71</v>
      </c>
      <c r="D17" s="15" t="s">
        <v>73</v>
      </c>
      <c r="E17" s="14" t="s">
        <v>74</v>
      </c>
      <c r="F17" s="16" t="n">
        <v>350</v>
      </c>
      <c r="G17" s="21"/>
      <c r="H17" s="22" t="str">
        <f aca="false">IF(G17="","",G17*$F17/IF(G$10="Sí",1+G$11,1))</f>
        <v/>
      </c>
      <c r="I17" s="21"/>
      <c r="J17" s="22" t="str">
        <f aca="false">IF(I17="","",I17*$F17/IF(I$10="Sí",1+I$11,1))</f>
        <v/>
      </c>
      <c r="K17" s="21"/>
      <c r="L17" s="22" t="str">
        <f aca="false">IF(K17="","",K17*$F17/IF(K$10="Sí",1+K$11,1))</f>
        <v/>
      </c>
      <c r="M17" s="23" t="str">
        <f aca="false">IF(COUNT(H17,J17,L17)=0,"",MIN(H17,J17,L17))</f>
        <v/>
      </c>
      <c r="N17" s="15" t="str">
        <f aca="false">IF(M17="","",IF(M17=H17,$G$5,IF(M17=J17,$I$5,$K$5)))</f>
        <v/>
      </c>
      <c r="O17" s="15"/>
    </row>
    <row r="18" customFormat="false" ht="23.85" hidden="false" customHeight="false" outlineLevel="0" collapsed="false">
      <c r="A18" s="14" t="s">
        <v>75</v>
      </c>
      <c r="B18" s="14" t="s">
        <v>158</v>
      </c>
      <c r="C18" s="14" t="s">
        <v>71</v>
      </c>
      <c r="D18" s="15" t="s">
        <v>76</v>
      </c>
      <c r="E18" s="14" t="s">
        <v>70</v>
      </c>
      <c r="F18" s="16" t="n">
        <v>1</v>
      </c>
      <c r="G18" s="21"/>
      <c r="H18" s="22" t="str">
        <f aca="false">IF(G18="","",G18*$F18/IF(G$10="Sí",1+G$11,1))</f>
        <v/>
      </c>
      <c r="I18" s="21"/>
      <c r="J18" s="22" t="str">
        <f aca="false">IF(I18="","",I18*$F18/IF(I$10="Sí",1+I$11,1))</f>
        <v/>
      </c>
      <c r="K18" s="21"/>
      <c r="L18" s="22" t="str">
        <f aca="false">IF(K18="","",K18*$F18/IF(K$10="Sí",1+K$11,1))</f>
        <v/>
      </c>
      <c r="M18" s="23" t="str">
        <f aca="false">IF(COUNT(H18,J18,L18)=0,"",MIN(H18,J18,L18))</f>
        <v/>
      </c>
      <c r="N18" s="15" t="str">
        <f aca="false">IF(M18="","",IF(M18=H18,$G$5,IF(M18=J18,$I$5,$K$5)))</f>
        <v/>
      </c>
      <c r="O18" s="15"/>
    </row>
    <row r="19" customFormat="false" ht="23.85" hidden="false" customHeight="false" outlineLevel="0" collapsed="false">
      <c r="A19" s="14" t="s">
        <v>77</v>
      </c>
      <c r="B19" s="14" t="s">
        <v>158</v>
      </c>
      <c r="C19" s="14" t="s">
        <v>71</v>
      </c>
      <c r="D19" s="15" t="s">
        <v>79</v>
      </c>
      <c r="E19" s="14" t="s">
        <v>70</v>
      </c>
      <c r="F19" s="16" t="n">
        <v>1</v>
      </c>
      <c r="G19" s="21"/>
      <c r="H19" s="22" t="str">
        <f aca="false">IF(G19="","",G19*$F19/IF(G$10="Sí",1+G$11,1))</f>
        <v/>
      </c>
      <c r="I19" s="21"/>
      <c r="J19" s="22" t="str">
        <f aca="false">IF(I19="","",I19*$F19/IF(I$10="Sí",1+I$11,1))</f>
        <v/>
      </c>
      <c r="K19" s="21"/>
      <c r="L19" s="22" t="str">
        <f aca="false">IF(K19="","",K19*$F19/IF(K$10="Sí",1+K$11,1))</f>
        <v/>
      </c>
      <c r="M19" s="23" t="str">
        <f aca="false">IF(COUNT(H19,J19,L19)=0,"",MIN(H19,J19,L19))</f>
        <v/>
      </c>
      <c r="N19" s="15" t="str">
        <f aca="false">IF(M19="","",IF(M19=H19,$G$5,IF(M19=J19,$I$5,$K$5)))</f>
        <v/>
      </c>
      <c r="O19" s="15"/>
    </row>
    <row r="20" customFormat="false" ht="35.05" hidden="false" customHeight="false" outlineLevel="0" collapsed="false">
      <c r="A20" s="14" t="s">
        <v>80</v>
      </c>
      <c r="B20" s="14" t="s">
        <v>159</v>
      </c>
      <c r="C20" s="14" t="s">
        <v>71</v>
      </c>
      <c r="D20" s="15" t="s">
        <v>82</v>
      </c>
      <c r="E20" s="14" t="s">
        <v>83</v>
      </c>
      <c r="F20" s="16" t="n">
        <v>1</v>
      </c>
      <c r="G20" s="21"/>
      <c r="H20" s="22" t="str">
        <f aca="false">IF(G20="","",G20*$F20/IF(G$10="Sí",1+G$11,1))</f>
        <v/>
      </c>
      <c r="I20" s="21"/>
      <c r="J20" s="22" t="str">
        <f aca="false">IF(I20="","",I20*$F20/IF(I$10="Sí",1+I$11,1))</f>
        <v/>
      </c>
      <c r="K20" s="21"/>
      <c r="L20" s="22" t="str">
        <f aca="false">IF(K20="","",K20*$F20/IF(K$10="Sí",1+K$11,1))</f>
        <v/>
      </c>
      <c r="M20" s="23" t="str">
        <f aca="false">IF(COUNT(H20,J20,L20)=0,"",MIN(H20,J20,L20))</f>
        <v/>
      </c>
      <c r="N20" s="15" t="str">
        <f aca="false">IF(M20="","",IF(M20=H20,$G$5,IF(M20=J20,$I$5,$K$5)))</f>
        <v/>
      </c>
      <c r="O20" s="15"/>
    </row>
    <row r="21" customFormat="false" ht="35.05" hidden="false" customHeight="false" outlineLevel="0" collapsed="false">
      <c r="A21" s="14" t="s">
        <v>84</v>
      </c>
      <c r="B21" s="14" t="s">
        <v>160</v>
      </c>
      <c r="C21" s="14" t="s">
        <v>71</v>
      </c>
      <c r="D21" s="15" t="s">
        <v>85</v>
      </c>
      <c r="E21" s="14" t="s">
        <v>83</v>
      </c>
      <c r="F21" s="16" t="n">
        <v>1</v>
      </c>
      <c r="G21" s="21"/>
      <c r="H21" s="22" t="str">
        <f aca="false">IF(G21="","",G21*$F21/IF(G$10="Sí",1+G$11,1))</f>
        <v/>
      </c>
      <c r="I21" s="21"/>
      <c r="J21" s="22" t="str">
        <f aca="false">IF(I21="","",I21*$F21/IF(I$10="Sí",1+I$11,1))</f>
        <v/>
      </c>
      <c r="K21" s="21"/>
      <c r="L21" s="22" t="str">
        <f aca="false">IF(K21="","",K21*$F21/IF(K$10="Sí",1+K$11,1))</f>
        <v/>
      </c>
      <c r="M21" s="23" t="str">
        <f aca="false">IF(COUNT(H21,J21,L21)=0,"",MIN(H21,J21,L21))</f>
        <v/>
      </c>
      <c r="N21" s="15" t="str">
        <f aca="false">IF(M21="","",IF(M21=H21,$G$5,IF(M21=J21,$I$5,$K$5)))</f>
        <v/>
      </c>
      <c r="O21" s="15"/>
    </row>
    <row r="22" customFormat="false" ht="23.85" hidden="false" customHeight="false" outlineLevel="0" collapsed="false">
      <c r="A22" s="14" t="s">
        <v>86</v>
      </c>
      <c r="B22" s="14" t="s">
        <v>161</v>
      </c>
      <c r="C22" s="14" t="s">
        <v>71</v>
      </c>
      <c r="D22" s="15" t="s">
        <v>87</v>
      </c>
      <c r="E22" s="14" t="s">
        <v>74</v>
      </c>
      <c r="F22" s="16" t="n">
        <v>50</v>
      </c>
      <c r="G22" s="21"/>
      <c r="H22" s="22" t="str">
        <f aca="false">IF(G22="","",G22*$F22/IF(G$10="Sí",1+G$11,1))</f>
        <v/>
      </c>
      <c r="I22" s="21"/>
      <c r="J22" s="22" t="str">
        <f aca="false">IF(I22="","",I22*$F22/IF(I$10="Sí",1+I$11,1))</f>
        <v/>
      </c>
      <c r="K22" s="21"/>
      <c r="L22" s="22" t="str">
        <f aca="false">IF(K22="","",K22*$F22/IF(K$10="Sí",1+K$11,1))</f>
        <v/>
      </c>
      <c r="M22" s="23" t="str">
        <f aca="false">IF(COUNT(H22,J22,L22)=0,"",MIN(H22,J22,L22))</f>
        <v/>
      </c>
      <c r="N22" s="15" t="str">
        <f aca="false">IF(M22="","",IF(M22=H22,$G$5,IF(M22=J22,$I$5,$K$5)))</f>
        <v/>
      </c>
      <c r="O22" s="15"/>
    </row>
    <row r="23" customFormat="false" ht="23.85" hidden="false" customHeight="false" outlineLevel="0" collapsed="false">
      <c r="A23" s="14" t="s">
        <v>88</v>
      </c>
      <c r="B23" s="14" t="s">
        <v>161</v>
      </c>
      <c r="C23" s="14" t="s">
        <v>71</v>
      </c>
      <c r="D23" s="15" t="s">
        <v>89</v>
      </c>
      <c r="E23" s="14" t="s">
        <v>74</v>
      </c>
      <c r="F23" s="16" t="n">
        <v>50</v>
      </c>
      <c r="G23" s="21"/>
      <c r="H23" s="22" t="str">
        <f aca="false">IF(G23="","",G23*$F23/IF(G$10="Sí",1+G$11,1))</f>
        <v/>
      </c>
      <c r="I23" s="21"/>
      <c r="J23" s="22" t="str">
        <f aca="false">IF(I23="","",I23*$F23/IF(I$10="Sí",1+I$11,1))</f>
        <v/>
      </c>
      <c r="K23" s="21"/>
      <c r="L23" s="22" t="str">
        <f aca="false">IF(K23="","",K23*$F23/IF(K$10="Sí",1+K$11,1))</f>
        <v/>
      </c>
      <c r="M23" s="23" t="str">
        <f aca="false">IF(COUNT(H23,J23,L23)=0,"",MIN(H23,J23,L23))</f>
        <v/>
      </c>
      <c r="N23" s="15" t="str">
        <f aca="false">IF(M23="","",IF(M23=H23,$G$5,IF(M23=J23,$I$5,$K$5)))</f>
        <v/>
      </c>
      <c r="O23" s="15"/>
    </row>
    <row r="24" customFormat="false" ht="23.85" hidden="false" customHeight="false" outlineLevel="0" collapsed="false">
      <c r="A24" s="14" t="s">
        <v>90</v>
      </c>
      <c r="B24" s="14" t="s">
        <v>162</v>
      </c>
      <c r="C24" s="14" t="s">
        <v>71</v>
      </c>
      <c r="D24" s="15" t="s">
        <v>92</v>
      </c>
      <c r="E24" s="14" t="s">
        <v>74</v>
      </c>
      <c r="F24" s="16" t="n">
        <v>970</v>
      </c>
      <c r="G24" s="21"/>
      <c r="H24" s="22" t="str">
        <f aca="false">IF(G24="","",G24*$F24/IF(G$10="Sí",1+G$11,1))</f>
        <v/>
      </c>
      <c r="I24" s="21"/>
      <c r="J24" s="22" t="str">
        <f aca="false">IF(I24="","",I24*$F24/IF(I$10="Sí",1+I$11,1))</f>
        <v/>
      </c>
      <c r="K24" s="21"/>
      <c r="L24" s="22" t="str">
        <f aca="false">IF(K24="","",K24*$F24/IF(K$10="Sí",1+K$11,1))</f>
        <v/>
      </c>
      <c r="M24" s="23" t="str">
        <f aca="false">IF(COUNT(H24,J24,L24)=0,"",MIN(H24,J24,L24))</f>
        <v/>
      </c>
      <c r="N24" s="15" t="str">
        <f aca="false">IF(M24="","",IF(M24=H24,$G$5,IF(M24=J24,$I$5,$K$5)))</f>
        <v/>
      </c>
      <c r="O24" s="15"/>
    </row>
    <row r="25" customFormat="false" ht="23.85" hidden="false" customHeight="false" outlineLevel="0" collapsed="false">
      <c r="A25" s="14" t="s">
        <v>93</v>
      </c>
      <c r="B25" s="14" t="s">
        <v>162</v>
      </c>
      <c r="C25" s="14" t="s">
        <v>71</v>
      </c>
      <c r="D25" s="15" t="s">
        <v>95</v>
      </c>
      <c r="E25" s="14" t="s">
        <v>96</v>
      </c>
      <c r="F25" s="16" t="n">
        <v>172</v>
      </c>
      <c r="G25" s="21"/>
      <c r="H25" s="22" t="str">
        <f aca="false">IF(G25="","",G25*$F25/IF(G$10="Sí",1+G$11,1))</f>
        <v/>
      </c>
      <c r="I25" s="21"/>
      <c r="J25" s="22" t="str">
        <f aca="false">IF(I25="","",I25*$F25/IF(I$10="Sí",1+I$11,1))</f>
        <v/>
      </c>
      <c r="K25" s="21"/>
      <c r="L25" s="22" t="str">
        <f aca="false">IF(K25="","",K25*$F25/IF(K$10="Sí",1+K$11,1))</f>
        <v/>
      </c>
      <c r="M25" s="23" t="str">
        <f aca="false">IF(COUNT(H25,J25,L25)=0,"",MIN(H25,J25,L25))</f>
        <v/>
      </c>
      <c r="N25" s="15" t="str">
        <f aca="false">IF(M25="","",IF(M25=H25,$G$5,IF(M25=J25,$I$5,$K$5)))</f>
        <v/>
      </c>
      <c r="O25" s="15"/>
    </row>
    <row r="26" customFormat="false" ht="23.85" hidden="false" customHeight="false" outlineLevel="0" collapsed="false">
      <c r="A26" s="14" t="s">
        <v>97</v>
      </c>
      <c r="B26" s="14" t="s">
        <v>162</v>
      </c>
      <c r="C26" s="14" t="s">
        <v>71</v>
      </c>
      <c r="D26" s="15" t="s">
        <v>98</v>
      </c>
      <c r="E26" s="14" t="s">
        <v>70</v>
      </c>
      <c r="F26" s="16" t="n">
        <v>1</v>
      </c>
      <c r="G26" s="21"/>
      <c r="H26" s="22" t="str">
        <f aca="false">IF(G26="","",G26*$F26/IF(G$10="Sí",1+G$11,1))</f>
        <v/>
      </c>
      <c r="I26" s="21"/>
      <c r="J26" s="22" t="str">
        <f aca="false">IF(I26="","",I26*$F26/IF(I$10="Sí",1+I$11,1))</f>
        <v/>
      </c>
      <c r="K26" s="21"/>
      <c r="L26" s="22" t="str">
        <f aca="false">IF(K26="","",K26*$F26/IF(K$10="Sí",1+K$11,1))</f>
        <v/>
      </c>
      <c r="M26" s="23" t="str">
        <f aca="false">IF(COUNT(H26,J26,L26)=0,"",MIN(H26,J26,L26))</f>
        <v/>
      </c>
      <c r="N26" s="15" t="str">
        <f aca="false">IF(M26="","",IF(M26=H26,$G$5,IF(M26=J26,$I$5,$K$5)))</f>
        <v/>
      </c>
      <c r="O26" s="15"/>
    </row>
    <row r="27" customFormat="false" ht="23.85" hidden="false" customHeight="false" outlineLevel="0" collapsed="false">
      <c r="A27" s="14" t="s">
        <v>99</v>
      </c>
      <c r="B27" s="14" t="s">
        <v>163</v>
      </c>
      <c r="C27" s="14" t="s">
        <v>71</v>
      </c>
      <c r="D27" s="15" t="s">
        <v>100</v>
      </c>
      <c r="E27" s="14" t="s">
        <v>70</v>
      </c>
      <c r="F27" s="16" t="n">
        <v>1</v>
      </c>
      <c r="G27" s="21"/>
      <c r="H27" s="22" t="str">
        <f aca="false">IF(G27="","",G27*$F27/IF(G$10="Sí",1+G$11,1))</f>
        <v/>
      </c>
      <c r="I27" s="21"/>
      <c r="J27" s="22" t="str">
        <f aca="false">IF(I27="","",I27*$F27/IF(I$10="Sí",1+I$11,1))</f>
        <v/>
      </c>
      <c r="K27" s="21"/>
      <c r="L27" s="22" t="str">
        <f aca="false">IF(K27="","",K27*$F27/IF(K$10="Sí",1+K$11,1))</f>
        <v/>
      </c>
      <c r="M27" s="23" t="str">
        <f aca="false">IF(COUNT(H27,J27,L27)=0,"",MIN(H27,J27,L27))</f>
        <v/>
      </c>
      <c r="N27" s="15" t="str">
        <f aca="false">IF(M27="","",IF(M27=H27,$G$5,IF(M27=J27,$I$5,$K$5)))</f>
        <v/>
      </c>
      <c r="O27" s="15"/>
    </row>
    <row r="28" customFormat="false" ht="23.85" hidden="false" customHeight="false" outlineLevel="0" collapsed="false">
      <c r="A28" s="14" t="s">
        <v>101</v>
      </c>
      <c r="B28" s="14" t="s">
        <v>163</v>
      </c>
      <c r="C28" s="14" t="s">
        <v>71</v>
      </c>
      <c r="D28" s="15" t="s">
        <v>103</v>
      </c>
      <c r="E28" s="14" t="s">
        <v>70</v>
      </c>
      <c r="F28" s="16" t="n">
        <v>1</v>
      </c>
      <c r="G28" s="21"/>
      <c r="H28" s="22" t="str">
        <f aca="false">IF(G28="","",G28*$F28/IF(G$10="Sí",1+G$11,1))</f>
        <v/>
      </c>
      <c r="I28" s="21"/>
      <c r="J28" s="22" t="str">
        <f aca="false">IF(I28="","",I28*$F28/IF(I$10="Sí",1+I$11,1))</f>
        <v/>
      </c>
      <c r="K28" s="21"/>
      <c r="L28" s="22" t="str">
        <f aca="false">IF(K28="","",K28*$F28/IF(K$10="Sí",1+K$11,1))</f>
        <v/>
      </c>
      <c r="M28" s="23" t="str">
        <f aca="false">IF(COUNT(H28,J28,L28)=0,"",MIN(H28,J28,L28))</f>
        <v/>
      </c>
      <c r="N28" s="15" t="str">
        <f aca="false">IF(M28="","",IF(M28=H28,$G$5,IF(M28=J28,$I$5,$K$5)))</f>
        <v/>
      </c>
      <c r="O28" s="15"/>
    </row>
    <row r="29" customFormat="false" ht="23.85" hidden="false" customHeight="false" outlineLevel="0" collapsed="false">
      <c r="A29" s="14" t="s">
        <v>104</v>
      </c>
      <c r="B29" s="14" t="s">
        <v>163</v>
      </c>
      <c r="C29" s="14" t="s">
        <v>71</v>
      </c>
      <c r="D29" s="15" t="s">
        <v>105</v>
      </c>
      <c r="E29" s="14" t="s">
        <v>83</v>
      </c>
      <c r="F29" s="16" t="n">
        <v>1</v>
      </c>
      <c r="G29" s="21"/>
      <c r="H29" s="22" t="str">
        <f aca="false">IF(G29="","",G29*$F29/IF(G$10="Sí",1+G$11,1))</f>
        <v/>
      </c>
      <c r="I29" s="21"/>
      <c r="J29" s="22" t="str">
        <f aca="false">IF(I29="","",I29*$F29/IF(I$10="Sí",1+I$11,1))</f>
        <v/>
      </c>
      <c r="K29" s="21"/>
      <c r="L29" s="22" t="str">
        <f aca="false">IF(K29="","",K29*$F29/IF(K$10="Sí",1+K$11,1))</f>
        <v/>
      </c>
      <c r="M29" s="23" t="str">
        <f aca="false">IF(COUNT(H29,J29,L29)=0,"",MIN(H29,J29,L29))</f>
        <v/>
      </c>
      <c r="N29" s="15" t="str">
        <f aca="false">IF(M29="","",IF(M29=H29,$G$5,IF(M29=J29,$I$5,$K$5)))</f>
        <v/>
      </c>
      <c r="O29" s="15"/>
    </row>
    <row r="30" customFormat="false" ht="23.85" hidden="false" customHeight="false" outlineLevel="0" collapsed="false">
      <c r="A30" s="14" t="s">
        <v>106</v>
      </c>
      <c r="B30" s="14" t="s">
        <v>163</v>
      </c>
      <c r="C30" s="14" t="s">
        <v>71</v>
      </c>
      <c r="D30" s="15" t="s">
        <v>108</v>
      </c>
      <c r="E30" s="14" t="s">
        <v>70</v>
      </c>
      <c r="F30" s="16" t="n">
        <v>1</v>
      </c>
      <c r="G30" s="21"/>
      <c r="H30" s="22" t="str">
        <f aca="false">IF(G30="","",G30*$F30/IF(G$10="Sí",1+G$11,1))</f>
        <v/>
      </c>
      <c r="I30" s="21"/>
      <c r="J30" s="22" t="str">
        <f aca="false">IF(I30="","",I30*$F30/IF(I$10="Sí",1+I$11,1))</f>
        <v/>
      </c>
      <c r="K30" s="21"/>
      <c r="L30" s="22" t="str">
        <f aca="false">IF(K30="","",K30*$F30/IF(K$10="Sí",1+K$11,1))</f>
        <v/>
      </c>
      <c r="M30" s="23" t="str">
        <f aca="false">IF(COUNT(H30,J30,L30)=0,"",MIN(H30,J30,L30))</f>
        <v/>
      </c>
      <c r="N30" s="15" t="str">
        <f aca="false">IF(M30="","",IF(M30=H30,$G$5,IF(M30=J30,$I$5,$K$5)))</f>
        <v/>
      </c>
      <c r="O30" s="15"/>
    </row>
    <row r="31" customFormat="false" ht="15" hidden="false" customHeight="false" outlineLevel="0" collapsed="false">
      <c r="A31" s="14" t="s">
        <v>109</v>
      </c>
      <c r="B31" s="14" t="s">
        <v>164</v>
      </c>
      <c r="C31" s="14" t="s">
        <v>71</v>
      </c>
      <c r="D31" s="15" t="s">
        <v>111</v>
      </c>
      <c r="E31" s="14" t="s">
        <v>70</v>
      </c>
      <c r="F31" s="16" t="n">
        <v>1</v>
      </c>
      <c r="G31" s="21"/>
      <c r="H31" s="22" t="str">
        <f aca="false">IF(G31="","",G31*$F31/IF(G$10="Sí",1+G$11,1))</f>
        <v/>
      </c>
      <c r="I31" s="21"/>
      <c r="J31" s="22" t="str">
        <f aca="false">IF(I31="","",I31*$F31/IF(I$10="Sí",1+I$11,1))</f>
        <v/>
      </c>
      <c r="K31" s="21"/>
      <c r="L31" s="22" t="str">
        <f aca="false">IF(K31="","",K31*$F31/IF(K$10="Sí",1+K$11,1))</f>
        <v/>
      </c>
      <c r="M31" s="23" t="str">
        <f aca="false">IF(COUNT(H31,J31,L31)=0,"",MIN(H31,J31,L31))</f>
        <v/>
      </c>
      <c r="N31" s="15" t="str">
        <f aca="false">IF(M31="","",IF(M31=H31,$G$5,IF(M31=J31,$I$5,$K$5)))</f>
        <v/>
      </c>
      <c r="O31" s="15"/>
    </row>
    <row r="32" customFormat="false" ht="23.85" hidden="false" customHeight="false" outlineLevel="0" collapsed="false">
      <c r="A32" s="14" t="s">
        <v>112</v>
      </c>
      <c r="B32" s="14" t="s">
        <v>164</v>
      </c>
      <c r="C32" s="14" t="s">
        <v>71</v>
      </c>
      <c r="D32" s="15" t="s">
        <v>114</v>
      </c>
      <c r="E32" s="14" t="s">
        <v>70</v>
      </c>
      <c r="F32" s="16" t="n">
        <v>1</v>
      </c>
      <c r="G32" s="21"/>
      <c r="H32" s="22" t="str">
        <f aca="false">IF(G32="","",G32*$F32/IF(G$10="Sí",1+G$11,1))</f>
        <v/>
      </c>
      <c r="I32" s="21"/>
      <c r="J32" s="22" t="str">
        <f aca="false">IF(I32="","",I32*$F32/IF(I$10="Sí",1+I$11,1))</f>
        <v/>
      </c>
      <c r="K32" s="21"/>
      <c r="L32" s="22" t="str">
        <f aca="false">IF(K32="","",K32*$F32/IF(K$10="Sí",1+K$11,1))</f>
        <v/>
      </c>
      <c r="M32" s="23" t="str">
        <f aca="false">IF(COUNT(H32,J32,L32)=0,"",MIN(H32,J32,L32))</f>
        <v/>
      </c>
      <c r="N32" s="15" t="str">
        <f aca="false">IF(M32="","",IF(M32=H32,$G$5,IF(M32=J32,$I$5,$K$5)))</f>
        <v/>
      </c>
      <c r="O32" s="15"/>
    </row>
    <row r="33" customFormat="false" ht="23.85" hidden="false" customHeight="false" outlineLevel="0" collapsed="false">
      <c r="A33" s="14" t="s">
        <v>165</v>
      </c>
      <c r="B33" s="14" t="s">
        <v>164</v>
      </c>
      <c r="C33" s="14" t="s">
        <v>71</v>
      </c>
      <c r="D33" s="15" t="s">
        <v>166</v>
      </c>
      <c r="E33" s="14" t="s">
        <v>70</v>
      </c>
      <c r="F33" s="16" t="n">
        <v>1</v>
      </c>
      <c r="G33" s="21"/>
      <c r="H33" s="22" t="str">
        <f aca="false">IF(G33="","",G33*$F33/IF(G$10="Sí",1+G$11,1))</f>
        <v/>
      </c>
      <c r="I33" s="21"/>
      <c r="J33" s="22" t="str">
        <f aca="false">IF(I33="","",I33*$F33/IF(I$10="Sí",1+I$11,1))</f>
        <v/>
      </c>
      <c r="K33" s="21"/>
      <c r="L33" s="22" t="str">
        <f aca="false">IF(K33="","",K33*$F33/IF(K$10="Sí",1+K$11,1))</f>
        <v/>
      </c>
      <c r="M33" s="23" t="str">
        <f aca="false">IF(COUNT(H33,J33,L33)=0,"",MIN(H33,J33,L33))</f>
        <v/>
      </c>
      <c r="N33" s="15" t="str">
        <f aca="false">IF(M33="","",IF(M33=H33,$G$5,IF(M33=J33,$I$5,$K$5)))</f>
        <v/>
      </c>
      <c r="O33" s="24" t="s">
        <v>167</v>
      </c>
    </row>
    <row r="34" customFormat="false" ht="35.05" hidden="false" customHeight="false" outlineLevel="0" collapsed="false">
      <c r="A34" s="14" t="s">
        <v>115</v>
      </c>
      <c r="B34" s="14" t="s">
        <v>168</v>
      </c>
      <c r="C34" s="14" t="s">
        <v>71</v>
      </c>
      <c r="D34" s="15" t="s">
        <v>117</v>
      </c>
      <c r="E34" s="14" t="s">
        <v>83</v>
      </c>
      <c r="F34" s="16" t="n">
        <v>1</v>
      </c>
      <c r="G34" s="21"/>
      <c r="H34" s="22" t="str">
        <f aca="false">IF(G34="","",G34*$F34/IF(G$10="Sí",1+G$11,1))</f>
        <v/>
      </c>
      <c r="I34" s="21"/>
      <c r="J34" s="22" t="str">
        <f aca="false">IF(I34="","",I34*$F34/IF(I$10="Sí",1+I$11,1))</f>
        <v/>
      </c>
      <c r="K34" s="21"/>
      <c r="L34" s="22" t="str">
        <f aca="false">IF(K34="","",K34*$F34/IF(K$10="Sí",1+K$11,1))</f>
        <v/>
      </c>
      <c r="M34" s="23" t="str">
        <f aca="false">IF(COUNT(H34,J34,L34)=0,"",MIN(H34,J34,L34))</f>
        <v/>
      </c>
      <c r="N34" s="15" t="str">
        <f aca="false">IF(M34="","",IF(M34=H34,$G$5,IF(M34=J34,$I$5,$K$5)))</f>
        <v/>
      </c>
      <c r="O34" s="15"/>
    </row>
    <row r="35" customFormat="false" ht="15" hidden="false" customHeight="false" outlineLevel="0" collapsed="false">
      <c r="A35" s="14" t="s">
        <v>118</v>
      </c>
      <c r="B35" s="14" t="s">
        <v>168</v>
      </c>
      <c r="C35" s="14" t="s">
        <v>71</v>
      </c>
      <c r="D35" s="15" t="s">
        <v>119</v>
      </c>
      <c r="E35" s="14" t="s">
        <v>83</v>
      </c>
      <c r="F35" s="16" t="n">
        <v>1</v>
      </c>
      <c r="G35" s="21"/>
      <c r="H35" s="22" t="str">
        <f aca="false">IF(G35="","",G35*$F35/IF(G$10="Sí",1+G$11,1))</f>
        <v/>
      </c>
      <c r="I35" s="21"/>
      <c r="J35" s="22" t="str">
        <f aca="false">IF(I35="","",I35*$F35/IF(I$10="Sí",1+I$11,1))</f>
        <v/>
      </c>
      <c r="K35" s="21"/>
      <c r="L35" s="22" t="str">
        <f aca="false">IF(K35="","",K35*$F35/IF(K$10="Sí",1+K$11,1))</f>
        <v/>
      </c>
      <c r="M35" s="23" t="str">
        <f aca="false">IF(COUNT(H35,J35,L35)=0,"",MIN(H35,J35,L35))</f>
        <v/>
      </c>
      <c r="N35" s="15" t="str">
        <f aca="false">IF(M35="","",IF(M35=H35,$G$5,IF(M35=J35,$I$5,$K$5)))</f>
        <v/>
      </c>
      <c r="O35" s="15"/>
    </row>
    <row r="36" customFormat="false" ht="23.85" hidden="false" customHeight="false" outlineLevel="0" collapsed="false">
      <c r="A36" s="14" t="s">
        <v>120</v>
      </c>
      <c r="B36" s="14" t="s">
        <v>169</v>
      </c>
      <c r="C36" s="14" t="s">
        <v>71</v>
      </c>
      <c r="D36" s="15" t="s">
        <v>122</v>
      </c>
      <c r="E36" s="14" t="s">
        <v>70</v>
      </c>
      <c r="F36" s="16" t="n">
        <v>1</v>
      </c>
      <c r="G36" s="21"/>
      <c r="H36" s="22" t="str">
        <f aca="false">IF(G36="","",G36*$F36/IF(G$10="Sí",1+G$11,1))</f>
        <v/>
      </c>
      <c r="I36" s="21"/>
      <c r="J36" s="22" t="str">
        <f aca="false">IF(I36="","",I36*$F36/IF(I$10="Sí",1+I$11,1))</f>
        <v/>
      </c>
      <c r="K36" s="21"/>
      <c r="L36" s="22" t="str">
        <f aca="false">IF(K36="","",K36*$F36/IF(K$10="Sí",1+K$11,1))</f>
        <v/>
      </c>
      <c r="M36" s="23" t="str">
        <f aca="false">IF(COUNT(H36,J36,L36)=0,"",MIN(H36,J36,L36))</f>
        <v/>
      </c>
      <c r="N36" s="15" t="str">
        <f aca="false">IF(M36="","",IF(M36=H36,$G$5,IF(M36=J36,$I$5,$K$5)))</f>
        <v/>
      </c>
      <c r="O36" s="15"/>
    </row>
    <row r="37" customFormat="false" ht="23.85" hidden="false" customHeight="false" outlineLevel="0" collapsed="false">
      <c r="A37" s="14" t="s">
        <v>123</v>
      </c>
      <c r="B37" s="14" t="s">
        <v>170</v>
      </c>
      <c r="C37" s="14" t="s">
        <v>71</v>
      </c>
      <c r="D37" s="15" t="s">
        <v>125</v>
      </c>
      <c r="E37" s="14" t="s">
        <v>70</v>
      </c>
      <c r="F37" s="16" t="n">
        <v>1</v>
      </c>
      <c r="G37" s="21"/>
      <c r="H37" s="22" t="str">
        <f aca="false">IF(G37="","",G37*$F37/IF(G$10="Sí",1+G$11,1))</f>
        <v/>
      </c>
      <c r="I37" s="21"/>
      <c r="J37" s="22" t="str">
        <f aca="false">IF(I37="","",I37*$F37/IF(I$10="Sí",1+I$11,1))</f>
        <v/>
      </c>
      <c r="K37" s="21"/>
      <c r="L37" s="22" t="str">
        <f aca="false">IF(K37="","",K37*$F37/IF(K$10="Sí",1+K$11,1))</f>
        <v/>
      </c>
      <c r="M37" s="23" t="str">
        <f aca="false">IF(COUNT(H37,J37,L37)=0,"",MIN(H37,J37,L37))</f>
        <v/>
      </c>
      <c r="N37" s="15" t="str">
        <f aca="false">IF(M37="","",IF(M37=H37,$G$5,IF(M37=J37,$I$5,$K$5)))</f>
        <v/>
      </c>
      <c r="O37" s="15"/>
    </row>
    <row r="38" customFormat="false" ht="23.85" hidden="false" customHeight="false" outlineLevel="0" collapsed="false">
      <c r="A38" s="14" t="s">
        <v>126</v>
      </c>
      <c r="B38" s="14" t="s">
        <v>171</v>
      </c>
      <c r="C38" s="14" t="s">
        <v>71</v>
      </c>
      <c r="D38" s="15" t="s">
        <v>128</v>
      </c>
      <c r="E38" s="14" t="s">
        <v>70</v>
      </c>
      <c r="F38" s="16" t="n">
        <v>1</v>
      </c>
      <c r="G38" s="21"/>
      <c r="H38" s="22" t="str">
        <f aca="false">IF(G38="","",G38*$F38/IF(G$10="Sí",1+G$11,1))</f>
        <v/>
      </c>
      <c r="I38" s="21"/>
      <c r="J38" s="22" t="str">
        <f aca="false">IF(I38="","",I38*$F38/IF(I$10="Sí",1+I$11,1))</f>
        <v/>
      </c>
      <c r="K38" s="21"/>
      <c r="L38" s="22" t="str">
        <f aca="false">IF(K38="","",K38*$F38/IF(K$10="Sí",1+K$11,1))</f>
        <v/>
      </c>
      <c r="M38" s="23" t="str">
        <f aca="false">IF(COUNT(H38,J38,L38)=0,"",MIN(H38,J38,L38))</f>
        <v/>
      </c>
      <c r="N38" s="15" t="str">
        <f aca="false">IF(M38="","",IF(M38=H38,$G$5,IF(M38=J38,$I$5,$K$5)))</f>
        <v/>
      </c>
      <c r="O38" s="15"/>
    </row>
    <row r="39" customFormat="false" ht="15" hidden="false" customHeight="false" outlineLevel="0" collapsed="false">
      <c r="A39" s="14" t="s">
        <v>129</v>
      </c>
      <c r="B39" s="14" t="s">
        <v>172</v>
      </c>
      <c r="C39" s="14" t="s">
        <v>132</v>
      </c>
      <c r="D39" s="15" t="s">
        <v>131</v>
      </c>
      <c r="E39" s="14" t="s">
        <v>83</v>
      </c>
      <c r="F39" s="16" t="n">
        <v>1</v>
      </c>
      <c r="G39" s="21"/>
      <c r="H39" s="22" t="str">
        <f aca="false">IF(G39="","",G39*$F39/IF(G$10="Sí",1+G$11,1))</f>
        <v/>
      </c>
      <c r="I39" s="21"/>
      <c r="J39" s="22" t="str">
        <f aca="false">IF(I39="","",I39*$F39/IF(I$10="Sí",1+I$11,1))</f>
        <v/>
      </c>
      <c r="K39" s="21"/>
      <c r="L39" s="22" t="str">
        <f aca="false">IF(K39="","",K39*$F39/IF(K$10="Sí",1+K$11,1))</f>
        <v/>
      </c>
      <c r="M39" s="23" t="str">
        <f aca="false">IF(COUNT(H39,J39,L39)=0,"",MIN(H39,J39,L39))</f>
        <v/>
      </c>
      <c r="N39" s="15" t="str">
        <f aca="false">IF(M39="","",IF(M39=H39,$G$5,IF(M39=J39,$I$5,$K$5)))</f>
        <v/>
      </c>
      <c r="O39" s="15"/>
    </row>
    <row r="40" customFormat="false" ht="23.85" hidden="false" customHeight="false" outlineLevel="0" collapsed="false">
      <c r="A40" s="14" t="s">
        <v>133</v>
      </c>
      <c r="B40" s="14" t="s">
        <v>173</v>
      </c>
      <c r="C40" s="14" t="s">
        <v>132</v>
      </c>
      <c r="D40" s="15" t="s">
        <v>135</v>
      </c>
      <c r="E40" s="14" t="s">
        <v>83</v>
      </c>
      <c r="F40" s="16" t="n">
        <v>1</v>
      </c>
      <c r="G40" s="21"/>
      <c r="H40" s="22" t="str">
        <f aca="false">IF(G40="","",G40*$F40/IF(G$10="Sí",1+G$11,1))</f>
        <v/>
      </c>
      <c r="I40" s="21"/>
      <c r="J40" s="22" t="str">
        <f aca="false">IF(I40="","",I40*$F40/IF(I$10="Sí",1+I$11,1))</f>
        <v/>
      </c>
      <c r="K40" s="21"/>
      <c r="L40" s="22" t="str">
        <f aca="false">IF(K40="","",K40*$F40/IF(K$10="Sí",1+K$11,1))</f>
        <v/>
      </c>
      <c r="M40" s="23" t="str">
        <f aca="false">IF(COUNT(H40,J40,L40)=0,"",MIN(H40,J40,L40))</f>
        <v/>
      </c>
      <c r="N40" s="15" t="str">
        <f aca="false">IF(M40="","",IF(M40=H40,$G$5,IF(M40=J40,$I$5,$K$5)))</f>
        <v/>
      </c>
      <c r="O40" s="15"/>
    </row>
    <row r="41" customFormat="false" ht="15" hidden="false" customHeight="false" outlineLevel="0" collapsed="false">
      <c r="A41" s="14" t="s">
        <v>136</v>
      </c>
      <c r="B41" s="14" t="s">
        <v>174</v>
      </c>
      <c r="C41" s="14" t="s">
        <v>132</v>
      </c>
      <c r="D41" s="15" t="s">
        <v>138</v>
      </c>
      <c r="E41" s="14" t="s">
        <v>83</v>
      </c>
      <c r="F41" s="16" t="n">
        <v>1</v>
      </c>
      <c r="G41" s="21"/>
      <c r="H41" s="22" t="str">
        <f aca="false">IF(G41="","",G41*$F41/IF(G$10="Sí",1+G$11,1))</f>
        <v/>
      </c>
      <c r="I41" s="21"/>
      <c r="J41" s="22" t="str">
        <f aca="false">IF(I41="","",I41*$F41/IF(I$10="Sí",1+I$11,1))</f>
        <v/>
      </c>
      <c r="K41" s="21"/>
      <c r="L41" s="22" t="str">
        <f aca="false">IF(K41="","",K41*$F41/IF(K$10="Sí",1+K$11,1))</f>
        <v/>
      </c>
      <c r="M41" s="23" t="str">
        <f aca="false">IF(COUNT(H41,J41,L41)=0,"",MIN(H41,J41,L41))</f>
        <v/>
      </c>
      <c r="N41" s="15" t="str">
        <f aca="false">IF(M41="","",IF(M41=H41,$G$5,IF(M41=J41,$I$5,$K$5)))</f>
        <v/>
      </c>
      <c r="O41" s="15"/>
    </row>
    <row r="43" customFormat="false" ht="15" hidden="false" customHeight="false" outlineLevel="0" collapsed="false">
      <c r="D43" s="5" t="s">
        <v>175</v>
      </c>
      <c r="H43" s="25" t="n">
        <f aca="false">SUMIFS(H16:H41,$C16:$C41,"Fase I")</f>
        <v>0</v>
      </c>
      <c r="J43" s="25" t="n">
        <f aca="false">SUMIFS(J16:J41,$C16:$C41,"Fase I")</f>
        <v>0</v>
      </c>
      <c r="L43" s="25" t="n">
        <f aca="false">SUMIFS(L16:L41,$C16:$C41,"Fase I")</f>
        <v>0</v>
      </c>
      <c r="M43" s="25" t="n">
        <f aca="false">SUMIFS(M16:M41,$C16:$C41,"Fase I")</f>
        <v>0</v>
      </c>
    </row>
    <row r="44" customFormat="false" ht="15" hidden="false" customHeight="false" outlineLevel="0" collapsed="false">
      <c r="D44" s="5" t="s">
        <v>176</v>
      </c>
      <c r="H44" s="25" t="n">
        <f aca="false">SUMIFS(H16:H41,$C16:$C41,"Fase II")</f>
        <v>0</v>
      </c>
      <c r="J44" s="25" t="n">
        <f aca="false">SUMIFS(J16:J41,$C16:$C41,"Fase II")</f>
        <v>0</v>
      </c>
      <c r="L44" s="25" t="n">
        <f aca="false">SUMIFS(L16:L41,$C16:$C41,"Fase II")</f>
        <v>0</v>
      </c>
      <c r="M44" s="25" t="n">
        <f aca="false">SUMIFS(M16:M41,$C16:$C41,"Fase II")</f>
        <v>0</v>
      </c>
    </row>
    <row r="45" customFormat="false" ht="15" hidden="false" customHeight="false" outlineLevel="0" collapsed="false">
      <c r="D45" s="2" t="s">
        <v>177</v>
      </c>
    </row>
  </sheetData>
  <autoFilter ref="A15:O41"/>
  <mergeCells count="30">
    <mergeCell ref="G4:H4"/>
    <mergeCell ref="I4:J4"/>
    <mergeCell ref="K4:L4"/>
    <mergeCell ref="G5:H5"/>
    <mergeCell ref="I5:J5"/>
    <mergeCell ref="K5:L5"/>
    <mergeCell ref="G6:H6"/>
    <mergeCell ref="I6:J6"/>
    <mergeCell ref="K6:L6"/>
    <mergeCell ref="G7:H7"/>
    <mergeCell ref="I7:J7"/>
    <mergeCell ref="K7:L7"/>
    <mergeCell ref="G8:H8"/>
    <mergeCell ref="I8:J8"/>
    <mergeCell ref="K8:L8"/>
    <mergeCell ref="G9:H9"/>
    <mergeCell ref="I9:J9"/>
    <mergeCell ref="K9:L9"/>
    <mergeCell ref="G10:H10"/>
    <mergeCell ref="I10:J10"/>
    <mergeCell ref="K10:L10"/>
    <mergeCell ref="G11:H11"/>
    <mergeCell ref="I11:J11"/>
    <mergeCell ref="K11:L11"/>
    <mergeCell ref="G12:H12"/>
    <mergeCell ref="I12:J12"/>
    <mergeCell ref="K12:L12"/>
    <mergeCell ref="G13:H13"/>
    <mergeCell ref="I13:J13"/>
    <mergeCell ref="K13:L13"/>
  </mergeCells>
  <dataValidations count="1">
    <dataValidation allowBlank="true" errorStyle="stop" operator="between" showDropDown="false" showErrorMessage="false" showInputMessage="false" sqref="G10 I10 K1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17"/>
    <col collapsed="false" customWidth="true" hidden="false" outlineLevel="0" max="8" min="8" style="0" width="11"/>
    <col collapsed="false" customWidth="true" hidden="false" outlineLevel="0" max="10" min="9" style="0" width="10"/>
    <col collapsed="false" customWidth="true" hidden="false" outlineLevel="0" max="11" min="11" style="0" width="18"/>
  </cols>
  <sheetData>
    <row r="1" customFormat="false" ht="17.3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4" customFormat="false" ht="30" hidden="false" customHeight="true" outlineLevel="0" collapsed="false">
      <c r="A4" s="13" t="s">
        <v>147</v>
      </c>
      <c r="B4" s="13" t="s">
        <v>180</v>
      </c>
      <c r="C4" s="13" t="s">
        <v>66</v>
      </c>
      <c r="D4" s="13" t="s">
        <v>181</v>
      </c>
      <c r="E4" s="13" t="s">
        <v>182</v>
      </c>
      <c r="F4" s="13" t="s">
        <v>183</v>
      </c>
      <c r="G4" s="13" t="s">
        <v>184</v>
      </c>
      <c r="H4" s="13" t="s">
        <v>185</v>
      </c>
      <c r="I4" s="13" t="s">
        <v>186</v>
      </c>
      <c r="J4" s="13" t="s">
        <v>187</v>
      </c>
      <c r="K4" s="13" t="s">
        <v>188</v>
      </c>
    </row>
    <row r="5" customFormat="false" ht="15" hidden="false" customHeight="false" outlineLevel="0" collapsed="false">
      <c r="A5" s="14" t="s">
        <v>158</v>
      </c>
      <c r="B5" s="15" t="s">
        <v>189</v>
      </c>
      <c r="C5" s="14" t="s">
        <v>71</v>
      </c>
      <c r="D5" s="14" t="s">
        <v>190</v>
      </c>
      <c r="E5" s="26" t="n">
        <v>245000000</v>
      </c>
      <c r="F5" s="27" t="n">
        <f aca="false">SUMIFS(Comparativo!$M$16:$M$41,Comparativo!$B$16:$B$41,A5)</f>
        <v>0</v>
      </c>
      <c r="G5" s="28" t="str">
        <f aca="false">IF(J5=0,"",F5-E5)</f>
        <v/>
      </c>
      <c r="H5" s="29" t="str">
        <f aca="false">IF(OR(J5=0,E5=0),"",F5/E5-1)</f>
        <v/>
      </c>
      <c r="I5" s="30" t="n">
        <f aca="false">COUNTIF(Comparativo!$B$16:$B$41,A5)</f>
        <v>4</v>
      </c>
      <c r="J5" s="30" t="n">
        <f aca="false">SUMPRODUCT((Comparativo!$B$16:$B$41=A5)*ISNUMBER(Comparativo!$M$16:$M$41))</f>
        <v>0</v>
      </c>
      <c r="K5" s="14" t="str">
        <f aca="false">IF(J5=0,"Sin cotizar",IF(J5&lt;I5,"Incompleto",IF(F5&gt;E5,"Supera la DDJJ","Dentro de la DDJJ")))</f>
        <v>Sin cotizar</v>
      </c>
    </row>
    <row r="6" customFormat="false" ht="15" hidden="false" customHeight="false" outlineLevel="0" collapsed="false">
      <c r="A6" s="14" t="s">
        <v>159</v>
      </c>
      <c r="B6" s="15" t="s">
        <v>191</v>
      </c>
      <c r="C6" s="14" t="s">
        <v>71</v>
      </c>
      <c r="D6" s="14" t="s">
        <v>190</v>
      </c>
      <c r="E6" s="26" t="n">
        <v>42000000</v>
      </c>
      <c r="F6" s="27" t="n">
        <f aca="false">SUMIFS(Comparativo!$M$16:$M$41,Comparativo!$B$16:$B$41,A6)</f>
        <v>0</v>
      </c>
      <c r="G6" s="28" t="str">
        <f aca="false">IF(J6=0,"",F6-E6)</f>
        <v/>
      </c>
      <c r="H6" s="29" t="str">
        <f aca="false">IF(OR(J6=0,E6=0),"",F6/E6-1)</f>
        <v/>
      </c>
      <c r="I6" s="30" t="n">
        <f aca="false">COUNTIF(Comparativo!$B$16:$B$41,A6)</f>
        <v>1</v>
      </c>
      <c r="J6" s="30" t="n">
        <f aca="false">SUMPRODUCT((Comparativo!$B$16:$B$41=A6)*ISNUMBER(Comparativo!$M$16:$M$41))</f>
        <v>0</v>
      </c>
      <c r="K6" s="14" t="str">
        <f aca="false">IF(J6=0,"Sin cotizar",IF(J6&lt;I6,"Incompleto",IF(F6&gt;E6,"Supera la DDJJ","Dentro de la DDJJ")))</f>
        <v>Sin cotizar</v>
      </c>
    </row>
    <row r="7" customFormat="false" ht="15" hidden="false" customHeight="false" outlineLevel="0" collapsed="false">
      <c r="A7" s="14" t="s">
        <v>160</v>
      </c>
      <c r="B7" s="15" t="s">
        <v>192</v>
      </c>
      <c r="C7" s="14" t="s">
        <v>71</v>
      </c>
      <c r="D7" s="14" t="s">
        <v>190</v>
      </c>
      <c r="E7" s="26" t="n">
        <v>28000000</v>
      </c>
      <c r="F7" s="27" t="n">
        <f aca="false">SUMIFS(Comparativo!$M$16:$M$41,Comparativo!$B$16:$B$41,A7)</f>
        <v>0</v>
      </c>
      <c r="G7" s="28" t="str">
        <f aca="false">IF(J7=0,"",F7-E7)</f>
        <v/>
      </c>
      <c r="H7" s="29" t="str">
        <f aca="false">IF(OR(J7=0,E7=0),"",F7/E7-1)</f>
        <v/>
      </c>
      <c r="I7" s="30" t="n">
        <f aca="false">COUNTIF(Comparativo!$B$16:$B$41,A7)</f>
        <v>1</v>
      </c>
      <c r="J7" s="30" t="n">
        <f aca="false">SUMPRODUCT((Comparativo!$B$16:$B$41=A7)*ISNUMBER(Comparativo!$M$16:$M$41))</f>
        <v>0</v>
      </c>
      <c r="K7" s="14" t="str">
        <f aca="false">IF(J7=0,"Sin cotizar",IF(J7&lt;I7,"Incompleto",IF(F7&gt;E7,"Supera la DDJJ","Dentro de la DDJJ")))</f>
        <v>Sin cotizar</v>
      </c>
    </row>
    <row r="8" customFormat="false" ht="15" hidden="false" customHeight="false" outlineLevel="0" collapsed="false">
      <c r="A8" s="14" t="s">
        <v>161</v>
      </c>
      <c r="B8" s="15" t="s">
        <v>193</v>
      </c>
      <c r="C8" s="14" t="s">
        <v>71</v>
      </c>
      <c r="D8" s="14" t="s">
        <v>190</v>
      </c>
      <c r="E8" s="26" t="n">
        <v>18000000</v>
      </c>
      <c r="F8" s="27" t="n">
        <f aca="false">SUMIFS(Comparativo!$M$16:$M$41,Comparativo!$B$16:$B$41,A8)</f>
        <v>0</v>
      </c>
      <c r="G8" s="28" t="str">
        <f aca="false">IF(J8=0,"",F8-E8)</f>
        <v/>
      </c>
      <c r="H8" s="29" t="str">
        <f aca="false">IF(OR(J8=0,E8=0),"",F8/E8-1)</f>
        <v/>
      </c>
      <c r="I8" s="30" t="n">
        <f aca="false">COUNTIF(Comparativo!$B$16:$B$41,A8)</f>
        <v>2</v>
      </c>
      <c r="J8" s="30" t="n">
        <f aca="false">SUMPRODUCT((Comparativo!$B$16:$B$41=A8)*ISNUMBER(Comparativo!$M$16:$M$41))</f>
        <v>0</v>
      </c>
      <c r="K8" s="14" t="str">
        <f aca="false">IF(J8=0,"Sin cotizar",IF(J8&lt;I8,"Incompleto",IF(F8&gt;E8,"Supera la DDJJ","Dentro de la DDJJ")))</f>
        <v>Sin cotizar</v>
      </c>
    </row>
    <row r="9" customFormat="false" ht="15" hidden="false" customHeight="false" outlineLevel="0" collapsed="false">
      <c r="A9" s="14" t="s">
        <v>162</v>
      </c>
      <c r="B9" s="15" t="s">
        <v>194</v>
      </c>
      <c r="C9" s="14" t="s">
        <v>71</v>
      </c>
      <c r="D9" s="14" t="s">
        <v>190</v>
      </c>
      <c r="E9" s="26" t="n">
        <v>50000000</v>
      </c>
      <c r="F9" s="27" t="n">
        <f aca="false">SUMIFS(Comparativo!$M$16:$M$41,Comparativo!$B$16:$B$41,A9)</f>
        <v>0</v>
      </c>
      <c r="G9" s="28" t="str">
        <f aca="false">IF(J9=0,"",F9-E9)</f>
        <v/>
      </c>
      <c r="H9" s="29" t="str">
        <f aca="false">IF(OR(J9=0,E9=0),"",F9/E9-1)</f>
        <v/>
      </c>
      <c r="I9" s="30" t="n">
        <f aca="false">COUNTIF(Comparativo!$B$16:$B$41,A9)</f>
        <v>3</v>
      </c>
      <c r="J9" s="30" t="n">
        <f aca="false">SUMPRODUCT((Comparativo!$B$16:$B$41=A9)*ISNUMBER(Comparativo!$M$16:$M$41))</f>
        <v>0</v>
      </c>
      <c r="K9" s="14" t="str">
        <f aca="false">IF(J9=0,"Sin cotizar",IF(J9&lt;I9,"Incompleto",IF(F9&gt;E9,"Supera la DDJJ","Dentro de la DDJJ")))</f>
        <v>Sin cotizar</v>
      </c>
    </row>
    <row r="10" customFormat="false" ht="15" hidden="false" customHeight="false" outlineLevel="0" collapsed="false">
      <c r="A10" s="14" t="s">
        <v>163</v>
      </c>
      <c r="B10" s="15" t="s">
        <v>195</v>
      </c>
      <c r="C10" s="14" t="s">
        <v>71</v>
      </c>
      <c r="D10" s="14" t="s">
        <v>190</v>
      </c>
      <c r="E10" s="26" t="n">
        <v>38000000</v>
      </c>
      <c r="F10" s="27" t="n">
        <f aca="false">SUMIFS(Comparativo!$M$16:$M$41,Comparativo!$B$16:$B$41,A10)</f>
        <v>0</v>
      </c>
      <c r="G10" s="28" t="str">
        <f aca="false">IF(J10=0,"",F10-E10)</f>
        <v/>
      </c>
      <c r="H10" s="29" t="str">
        <f aca="false">IF(OR(J10=0,E10=0),"",F10/E10-1)</f>
        <v/>
      </c>
      <c r="I10" s="30" t="n">
        <f aca="false">COUNTIF(Comparativo!$B$16:$B$41,A10)</f>
        <v>4</v>
      </c>
      <c r="J10" s="30" t="n">
        <f aca="false">SUMPRODUCT((Comparativo!$B$16:$B$41=A10)*ISNUMBER(Comparativo!$M$16:$M$41))</f>
        <v>0</v>
      </c>
      <c r="K10" s="14" t="str">
        <f aca="false">IF(J10=0,"Sin cotizar",IF(J10&lt;I10,"Incompleto",IF(F10&gt;E10,"Supera la DDJJ","Dentro de la DDJJ")))</f>
        <v>Sin cotizar</v>
      </c>
    </row>
    <row r="11" customFormat="false" ht="15" hidden="false" customHeight="false" outlineLevel="0" collapsed="false">
      <c r="A11" s="14" t="s">
        <v>164</v>
      </c>
      <c r="B11" s="15" t="s">
        <v>196</v>
      </c>
      <c r="C11" s="14" t="s">
        <v>71</v>
      </c>
      <c r="D11" s="14" t="s">
        <v>190</v>
      </c>
      <c r="E11" s="26" t="n">
        <v>25000000</v>
      </c>
      <c r="F11" s="27" t="n">
        <f aca="false">SUMIFS(Comparativo!$M$16:$M$41,Comparativo!$B$16:$B$41,A11)</f>
        <v>0</v>
      </c>
      <c r="G11" s="28" t="str">
        <f aca="false">IF(J11=0,"",F11-E11)</f>
        <v/>
      </c>
      <c r="H11" s="29" t="str">
        <f aca="false">IF(OR(J11=0,E11=0),"",F11/E11-1)</f>
        <v/>
      </c>
      <c r="I11" s="30" t="n">
        <f aca="false">COUNTIF(Comparativo!$B$16:$B$41,A11)</f>
        <v>3</v>
      </c>
      <c r="J11" s="30" t="n">
        <f aca="false">SUMPRODUCT((Comparativo!$B$16:$B$41=A11)*ISNUMBER(Comparativo!$M$16:$M$41))</f>
        <v>0</v>
      </c>
      <c r="K11" s="14" t="str">
        <f aca="false">IF(J11=0,"Sin cotizar",IF(J11&lt;I11,"Incompleto",IF(F11&gt;E11,"Supera la DDJJ","Dentro de la DDJJ")))</f>
        <v>Sin cotizar</v>
      </c>
    </row>
    <row r="12" customFormat="false" ht="15" hidden="false" customHeight="false" outlineLevel="0" collapsed="false">
      <c r="A12" s="14" t="s">
        <v>168</v>
      </c>
      <c r="B12" s="15" t="s">
        <v>197</v>
      </c>
      <c r="C12" s="14" t="s">
        <v>71</v>
      </c>
      <c r="D12" s="14" t="s">
        <v>198</v>
      </c>
      <c r="E12" s="26" t="n">
        <v>32000000</v>
      </c>
      <c r="F12" s="27" t="n">
        <f aca="false">SUMIFS(Comparativo!$M$16:$M$41,Comparativo!$B$16:$B$41,A12)</f>
        <v>0</v>
      </c>
      <c r="G12" s="28" t="str">
        <f aca="false">IF(J12=0,"",F12-E12)</f>
        <v/>
      </c>
      <c r="H12" s="29" t="str">
        <f aca="false">IF(OR(J12=0,E12=0),"",F12/E12-1)</f>
        <v/>
      </c>
      <c r="I12" s="30" t="n">
        <f aca="false">COUNTIF(Comparativo!$B$16:$B$41,A12)</f>
        <v>2</v>
      </c>
      <c r="J12" s="30" t="n">
        <f aca="false">SUMPRODUCT((Comparativo!$B$16:$B$41=A12)*ISNUMBER(Comparativo!$M$16:$M$41))</f>
        <v>0</v>
      </c>
      <c r="K12" s="14" t="str">
        <f aca="false">IF(J12=0,"Sin cotizar",IF(J12&lt;I12,"Incompleto",IF(F12&gt;E12,"Supera la DDJJ","Dentro de la DDJJ")))</f>
        <v>Sin cotizar</v>
      </c>
    </row>
    <row r="13" customFormat="false" ht="15" hidden="false" customHeight="false" outlineLevel="0" collapsed="false">
      <c r="A13" s="14" t="s">
        <v>169</v>
      </c>
      <c r="B13" s="15" t="s">
        <v>199</v>
      </c>
      <c r="C13" s="14" t="s">
        <v>71</v>
      </c>
      <c r="D13" s="14" t="s">
        <v>198</v>
      </c>
      <c r="E13" s="26" t="n">
        <v>18000000</v>
      </c>
      <c r="F13" s="27" t="n">
        <f aca="false">SUMIFS(Comparativo!$M$16:$M$41,Comparativo!$B$16:$B$41,A13)</f>
        <v>0</v>
      </c>
      <c r="G13" s="28" t="str">
        <f aca="false">IF(J13=0,"",F13-E13)</f>
        <v/>
      </c>
      <c r="H13" s="29" t="str">
        <f aca="false">IF(OR(J13=0,E13=0),"",F13/E13-1)</f>
        <v/>
      </c>
      <c r="I13" s="30" t="n">
        <f aca="false">COUNTIF(Comparativo!$B$16:$B$41,A13)</f>
        <v>1</v>
      </c>
      <c r="J13" s="30" t="n">
        <f aca="false">SUMPRODUCT((Comparativo!$B$16:$B$41=A13)*ISNUMBER(Comparativo!$M$16:$M$41))</f>
        <v>0</v>
      </c>
      <c r="K13" s="14" t="str">
        <f aca="false">IF(J13=0,"Sin cotizar",IF(J13&lt;I13,"Incompleto",IF(F13&gt;E13,"Supera la DDJJ","Dentro de la DDJJ")))</f>
        <v>Sin cotizar</v>
      </c>
    </row>
    <row r="14" customFormat="false" ht="15" hidden="false" customHeight="false" outlineLevel="0" collapsed="false">
      <c r="A14" s="14" t="s">
        <v>170</v>
      </c>
      <c r="B14" s="15" t="s">
        <v>200</v>
      </c>
      <c r="C14" s="14" t="s">
        <v>71</v>
      </c>
      <c r="D14" s="14" t="s">
        <v>198</v>
      </c>
      <c r="E14" s="26" t="n">
        <v>13000000</v>
      </c>
      <c r="F14" s="27" t="n">
        <f aca="false">SUMIFS(Comparativo!$M$16:$M$41,Comparativo!$B$16:$B$41,A14)</f>
        <v>0</v>
      </c>
      <c r="G14" s="28" t="str">
        <f aca="false">IF(J14=0,"",F14-E14)</f>
        <v/>
      </c>
      <c r="H14" s="29" t="str">
        <f aca="false">IF(OR(J14=0,E14=0),"",F14/E14-1)</f>
        <v/>
      </c>
      <c r="I14" s="30" t="n">
        <f aca="false">COUNTIF(Comparativo!$B$16:$B$41,A14)</f>
        <v>1</v>
      </c>
      <c r="J14" s="30" t="n">
        <f aca="false">SUMPRODUCT((Comparativo!$B$16:$B$41=A14)*ISNUMBER(Comparativo!$M$16:$M$41))</f>
        <v>0</v>
      </c>
      <c r="K14" s="14" t="str">
        <f aca="false">IF(J14=0,"Sin cotizar",IF(J14&lt;I14,"Incompleto",IF(F14&gt;E14,"Supera la DDJJ","Dentro de la DDJJ")))</f>
        <v>Sin cotizar</v>
      </c>
    </row>
    <row r="15" customFormat="false" ht="15" hidden="false" customHeight="false" outlineLevel="0" collapsed="false">
      <c r="A15" s="14" t="s">
        <v>171</v>
      </c>
      <c r="B15" s="15" t="s">
        <v>201</v>
      </c>
      <c r="C15" s="14" t="s">
        <v>71</v>
      </c>
      <c r="D15" s="14" t="s">
        <v>198</v>
      </c>
      <c r="E15" s="26" t="n">
        <v>7000000</v>
      </c>
      <c r="F15" s="27" t="n">
        <f aca="false">SUMIFS(Comparativo!$M$16:$M$41,Comparativo!$B$16:$B$41,A15)</f>
        <v>0</v>
      </c>
      <c r="G15" s="28" t="str">
        <f aca="false">IF(J15=0,"",F15-E15)</f>
        <v/>
      </c>
      <c r="H15" s="29" t="str">
        <f aca="false">IF(OR(J15=0,E15=0),"",F15/E15-1)</f>
        <v/>
      </c>
      <c r="I15" s="30" t="n">
        <f aca="false">COUNTIF(Comparativo!$B$16:$B$41,A15)</f>
        <v>1</v>
      </c>
      <c r="J15" s="30" t="n">
        <f aca="false">SUMPRODUCT((Comparativo!$B$16:$B$41=A15)*ISNUMBER(Comparativo!$M$16:$M$41))</f>
        <v>0</v>
      </c>
      <c r="K15" s="14" t="str">
        <f aca="false">IF(J15=0,"Sin cotizar",IF(J15&lt;I15,"Incompleto",IF(F15&gt;E15,"Supera la DDJJ","Dentro de la DDJJ")))</f>
        <v>Sin cotizar</v>
      </c>
    </row>
    <row r="16" customFormat="false" ht="15" hidden="false" customHeight="false" outlineLevel="0" collapsed="false">
      <c r="A16" s="14" t="s">
        <v>172</v>
      </c>
      <c r="B16" s="15" t="s">
        <v>202</v>
      </c>
      <c r="C16" s="14" t="s">
        <v>132</v>
      </c>
      <c r="D16" s="14" t="s">
        <v>198</v>
      </c>
      <c r="E16" s="26" t="n">
        <v>45000000</v>
      </c>
      <c r="F16" s="27" t="n">
        <f aca="false">SUMIFS(Comparativo!$M$16:$M$41,Comparativo!$B$16:$B$41,A16)</f>
        <v>0</v>
      </c>
      <c r="G16" s="28" t="str">
        <f aca="false">IF(J16=0,"",F16-E16)</f>
        <v/>
      </c>
      <c r="H16" s="29" t="str">
        <f aca="false">IF(OR(J16=0,E16=0),"",F16/E16-1)</f>
        <v/>
      </c>
      <c r="I16" s="30" t="n">
        <f aca="false">COUNTIF(Comparativo!$B$16:$B$41,A16)</f>
        <v>1</v>
      </c>
      <c r="J16" s="30" t="n">
        <f aca="false">SUMPRODUCT((Comparativo!$B$16:$B$41=A16)*ISNUMBER(Comparativo!$M$16:$M$41))</f>
        <v>0</v>
      </c>
      <c r="K16" s="14" t="str">
        <f aca="false">IF(J16=0,"Sin cotizar",IF(J16&lt;I16,"Incompleto",IF(F16&gt;E16,"Supera la DDJJ","Dentro de la DDJJ")))</f>
        <v>Sin cotizar</v>
      </c>
    </row>
    <row r="17" customFormat="false" ht="15" hidden="false" customHeight="false" outlineLevel="0" collapsed="false">
      <c r="A17" s="14" t="s">
        <v>173</v>
      </c>
      <c r="B17" s="15" t="s">
        <v>203</v>
      </c>
      <c r="C17" s="14" t="s">
        <v>132</v>
      </c>
      <c r="D17" s="14" t="s">
        <v>198</v>
      </c>
      <c r="E17" s="26" t="n">
        <v>30000000</v>
      </c>
      <c r="F17" s="27" t="n">
        <f aca="false">SUMIFS(Comparativo!$M$16:$M$41,Comparativo!$B$16:$B$41,A17)</f>
        <v>0</v>
      </c>
      <c r="G17" s="28" t="str">
        <f aca="false">IF(J17=0,"",F17-E17)</f>
        <v/>
      </c>
      <c r="H17" s="29" t="str">
        <f aca="false">IF(OR(J17=0,E17=0),"",F17/E17-1)</f>
        <v/>
      </c>
      <c r="I17" s="30" t="n">
        <f aca="false">COUNTIF(Comparativo!$B$16:$B$41,A17)</f>
        <v>1</v>
      </c>
      <c r="J17" s="30" t="n">
        <f aca="false">SUMPRODUCT((Comparativo!$B$16:$B$41=A17)*ISNUMBER(Comparativo!$M$16:$M$41))</f>
        <v>0</v>
      </c>
      <c r="K17" s="14" t="str">
        <f aca="false">IF(J17=0,"Sin cotizar",IF(J17&lt;I17,"Incompleto",IF(F17&gt;E17,"Supera la DDJJ","Dentro de la DDJJ")))</f>
        <v>Sin cotizar</v>
      </c>
    </row>
    <row r="18" customFormat="false" ht="15" hidden="false" customHeight="false" outlineLevel="0" collapsed="false">
      <c r="A18" s="14" t="s">
        <v>174</v>
      </c>
      <c r="B18" s="15" t="s">
        <v>204</v>
      </c>
      <c r="C18" s="14" t="s">
        <v>132</v>
      </c>
      <c r="D18" s="14" t="s">
        <v>198</v>
      </c>
      <c r="E18" s="26" t="n">
        <v>55000000</v>
      </c>
      <c r="F18" s="27" t="n">
        <f aca="false">SUMIFS(Comparativo!$M$16:$M$41,Comparativo!$B$16:$B$41,A18)</f>
        <v>0</v>
      </c>
      <c r="G18" s="28" t="str">
        <f aca="false">IF(J18=0,"",F18-E18)</f>
        <v/>
      </c>
      <c r="H18" s="29" t="str">
        <f aca="false">IF(OR(J18=0,E18=0),"",F18/E18-1)</f>
        <v/>
      </c>
      <c r="I18" s="30" t="n">
        <f aca="false">COUNTIF(Comparativo!$B$16:$B$41,A18)</f>
        <v>1</v>
      </c>
      <c r="J18" s="30" t="n">
        <f aca="false">SUMPRODUCT((Comparativo!$B$16:$B$41=A18)*ISNUMBER(Comparativo!$M$16:$M$41))</f>
        <v>0</v>
      </c>
      <c r="K18" s="14" t="str">
        <f aca="false">IF(J18=0,"Sin cotizar",IF(J18&lt;I18,"Incompleto",IF(F18&gt;E18,"Supera la DDJJ","Dentro de la DDJJ")))</f>
        <v>Sin cotizar</v>
      </c>
    </row>
    <row r="20" customFormat="false" ht="15" hidden="false" customHeight="false" outlineLevel="0" collapsed="false">
      <c r="B20" s="31" t="s">
        <v>205</v>
      </c>
      <c r="E20" s="25" t="n">
        <f aca="false">SUMIFS(E5:E18,C5:C18,"Fase I",D5:D18,"Obra")</f>
        <v>446000000</v>
      </c>
      <c r="F20" s="25" t="n">
        <f aca="false">SUMIFS(F5:F18,C5:C18,"Fase I",D5:D18,"Obra")</f>
        <v>0</v>
      </c>
      <c r="G20" s="25" t="str">
        <f aca="false">IF(F20=0,"",F20-E20)</f>
        <v/>
      </c>
      <c r="H20" s="32" t="str">
        <f aca="false">IF(OR(F20=0,E20=0),"",F20/E20-1)</f>
        <v/>
      </c>
      <c r="I20" s="33" t="n">
        <f aca="false">SUMIFS(I5:I18,C5:C18,"Fase I",D5:D18,"Obra")</f>
        <v>18</v>
      </c>
      <c r="J20" s="33" t="n">
        <f aca="false">SUMIFS(J5:J18,C5:C18,"Fase I",D5:D18,"Obra")</f>
        <v>0</v>
      </c>
      <c r="K20" s="33" t="str">
        <f aca="false">IF(J20=0,"Sin cotizar",IF(J20&lt;I20,"Incompleto",IF(F20&gt;E20,"Supera la DDJJ","Dentro de la DDJJ")))</f>
        <v>Sin cotizar</v>
      </c>
    </row>
    <row r="21" customFormat="false" ht="15" hidden="false" customHeight="false" outlineLevel="0" collapsed="false">
      <c r="B21" s="31" t="s">
        <v>206</v>
      </c>
      <c r="E21" s="25" t="n">
        <f aca="false">SUMIFS(E5:E18,C5:C18,"Fase I",D5:D18,"Equipamiento")</f>
        <v>70000000</v>
      </c>
      <c r="F21" s="25" t="n">
        <f aca="false">SUMIFS(F5:F18,C5:C18,"Fase I",D5:D18,"Equipamiento")</f>
        <v>0</v>
      </c>
      <c r="G21" s="25" t="str">
        <f aca="false">IF(F21=0,"",F21-E21)</f>
        <v/>
      </c>
      <c r="H21" s="32" t="str">
        <f aca="false">IF(OR(F21=0,E21=0),"",F21/E21-1)</f>
        <v/>
      </c>
      <c r="I21" s="33" t="n">
        <f aca="false">SUMIFS(I5:I18,C5:C18,"Fase I",D5:D18,"Equipamiento")</f>
        <v>5</v>
      </c>
      <c r="J21" s="33" t="n">
        <f aca="false">SUMIFS(J5:J18,C5:C18,"Fase I",D5:D18,"Equipamiento")</f>
        <v>0</v>
      </c>
      <c r="K21" s="33" t="str">
        <f aca="false">IF(J21=0,"Sin cotizar",IF(J21&lt;I21,"Incompleto",IF(F21&gt;E21,"Supera la DDJJ","Dentro de la DDJJ")))</f>
        <v>Sin cotizar</v>
      </c>
    </row>
    <row r="22" customFormat="false" ht="15" hidden="false" customHeight="false" outlineLevel="0" collapsed="false">
      <c r="B22" s="31" t="s">
        <v>207</v>
      </c>
      <c r="E22" s="25" t="n">
        <f aca="false">E20+E21</f>
        <v>516000000</v>
      </c>
      <c r="F22" s="25" t="n">
        <f aca="false">F20+F21</f>
        <v>0</v>
      </c>
      <c r="G22" s="25" t="str">
        <f aca="false">IF(F22=0,"",F22-E22)</f>
        <v/>
      </c>
      <c r="H22" s="32" t="str">
        <f aca="false">IF(OR(F22=0,E22=0),"",F22/E22-1)</f>
        <v/>
      </c>
      <c r="I22" s="33" t="n">
        <f aca="false">I20+I21</f>
        <v>23</v>
      </c>
      <c r="J22" s="33" t="n">
        <f aca="false">J20+J21</f>
        <v>0</v>
      </c>
      <c r="K22" s="33" t="str">
        <f aca="false">IF(J22=0,"Sin cotizar",IF(J22&lt;I22,"Incompleto",IF(F22&gt;E22,"Supera la DDJJ","Dentro de la DDJJ")))</f>
        <v>Sin cotizar</v>
      </c>
    </row>
    <row r="23" customFormat="false" ht="15" hidden="false" customHeight="false" outlineLevel="0" collapsed="false">
      <c r="B23" s="31" t="s">
        <v>208</v>
      </c>
      <c r="E23" s="25" t="n">
        <f aca="false">SUMIFS(E5:E18,C5:C18,"Fase II")</f>
        <v>130000000</v>
      </c>
      <c r="F23" s="25" t="n">
        <f aca="false">SUMIFS(F5:F18,C5:C18,"Fase II")</f>
        <v>0</v>
      </c>
      <c r="G23" s="25" t="str">
        <f aca="false">IF(F23=0,"",F23-E23)</f>
        <v/>
      </c>
      <c r="H23" s="32" t="str">
        <f aca="false">IF(OR(F23=0,E23=0),"",F23/E23-1)</f>
        <v/>
      </c>
      <c r="I23" s="33" t="n">
        <f aca="false">SUMIFS(I5:I18,C5:C18,"Fase II")</f>
        <v>3</v>
      </c>
      <c r="J23" s="33" t="n">
        <f aca="false">SUMIFS(J5:J18,C5:C18,"Fase II")</f>
        <v>0</v>
      </c>
      <c r="K23" s="33" t="str">
        <f aca="false">IF(J23=0,"Sin cotizar",IF(J23&lt;I23,"Incompleto",IF(F23&gt;E23,"Supera la DDJJ","Dentro de la DDJJ")))</f>
        <v>Sin cotizar</v>
      </c>
    </row>
    <row r="25" customFormat="false" ht="15" hidden="false" customHeight="false" outlineLevel="0" collapsed="false">
      <c r="B25" s="2" t="s">
        <v>209</v>
      </c>
    </row>
    <row r="26" customFormat="false" ht="15" hidden="false" customHeight="false" outlineLevel="0" collapsed="false">
      <c r="B26" s="2" t="s">
        <v>210</v>
      </c>
    </row>
    <row r="27" customFormat="false" ht="15" hidden="false" customHeight="false" outlineLevel="0" collapsed="false">
      <c r="B27" s="2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2026-10-29T06:58:06Z</dcterms:created>
  <dc:creator>openpyxl</dc:creator>
  <dc:description/>
  <dc:language>en-US</dc:language>
  <cp:lastModifiedBy/>
  <dcterms:modified xsi:type="dcterms:W3CDTF">2026-10-29T06:58:06Z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