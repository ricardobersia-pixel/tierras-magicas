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de cotización" sheetId="1" state="visible" r:id="rId3"/>
  </sheets>
  <definedNames>
    <definedName function="false" hidden="true" localSheetId="0" name="_xlnm._FilterDatabase" vbProcedure="false">'Pedido de cotización'!$A$15:$K$40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<sst xmlns="http://schemas.openxmlformats.org/spreadsheetml/2006/main" count="165" uniqueCount="108">
  <si>
    <t xml:space="preserve">SOLICITUD DE COTIZACIÓN — XANTRAX S.R.L. (CUIT 30-71457180-6)</t>
  </si>
  <si>
    <t xml:space="preserve">Obra: base operativa, taller y depósito de herramientas de pozo — Parque Industrial Capital, Neuquén</t>
  </si>
  <si>
    <t xml:space="preserve">Lote / manzana</t>
  </si>
  <si>
    <t xml:space="preserve">Lote [N° de lote], manzana [N° de manzana]</t>
  </si>
  <si>
    <t xml:space="preserve">Datos del proveedor (completar)</t>
  </si>
  <si>
    <t xml:space="preserve">Contacto para consultas</t>
  </si>
  <si>
    <t xml:space="preserve">Ignacio Ramallo, socio gerente · +54 9 299 467-5788 · iramallo@xantrax.com.ar</t>
  </si>
  <si>
    <t xml:space="preserve">Razón social</t>
  </si>
  <si>
    <t xml:space="preserve">Fecha límite de respuesta</t>
  </si>
  <si>
    <t xml:space="preserve">[fecha límite de respuesta]</t>
  </si>
  <si>
    <t xml:space="preserve">CUIT</t>
  </si>
  <si>
    <t xml:space="preserve">Contacto</t>
  </si>
  <si>
    <t xml:space="preserve">Condiciones de la cotización</t>
  </si>
  <si>
    <t xml:space="preserve">Fecha de cotización</t>
  </si>
  <si>
    <t xml:space="preserve">•</t>
  </si>
  <si>
    <t xml:space="preserve">Precios en pesos argentinos (ARS), discriminando el IVA y su alícuota.</t>
  </si>
  <si>
    <t xml:space="preserve">Validez (días)</t>
  </si>
  <si>
    <t xml:space="preserve">Validez mínima de la oferta: 15 días.</t>
  </si>
  <si>
    <t xml:space="preserve">Forma de pago</t>
  </si>
  <si>
    <t xml:space="preserve">Indicar plazo de entrega o de ejecución, forma de pago y qué incluye (transporte, montaje, garantía).</t>
  </si>
  <si>
    <t xml:space="preserve">Cotizar por ítem, con precio unitario y total. Se pueden proponer alternativas técnicas aclarándolas.</t>
  </si>
  <si>
    <t xml:space="preserve">Las cantidades son de anteproyecto; el proyecto ejecutivo puede ajustarlas.</t>
  </si>
  <si>
    <t xml:space="preserve">Código</t>
  </si>
  <si>
    <t xml:space="preserve">Tipo de proveedor</t>
  </si>
  <si>
    <t xml:space="preserve">Descripción y especificación</t>
  </si>
  <si>
    <t xml:space="preserve">Unidad</t>
  </si>
  <si>
    <t xml:space="preserve">Cantidad</t>
  </si>
  <si>
    <t xml:space="preserve">Fase</t>
  </si>
  <si>
    <t xml:space="preserve">Precio unitario sin IVA (ARS)</t>
  </si>
  <si>
    <t xml:space="preserve">Alícuota IVA</t>
  </si>
  <si>
    <t xml:space="preserve">Total sin IVA (ARS)</t>
  </si>
  <si>
    <t xml:space="preserve">Total con IVA (ARS)</t>
  </si>
  <si>
    <t xml:space="preserve">Plazo de entrega / observaciones</t>
  </si>
  <si>
    <t xml:space="preserve">O-01</t>
  </si>
  <si>
    <t xml:space="preserve">Constructora / naves metálicas</t>
  </si>
  <si>
    <t xml:space="preserve">Nave metálica 14 × 25 m (350 m²): fundaciones según estudio de suelos, pórticos metálicos, cerramientos laterales y cubierta de chapa prepintada, altura libre mínima 7 m, estructura dimensionada para monorriel de 3 a 5 t (a instalar en Fase II), canaletas y bajadas pluviales.</t>
  </si>
  <si>
    <t xml:space="preserve">gl</t>
  </si>
  <si>
    <t xml:space="preserve">Fase I</t>
  </si>
  <si>
    <t xml:space="preserve">O-02</t>
  </si>
  <si>
    <t xml:space="preserve">Piso de hormigón armado H30 para tránsito pesado, con juntas aserradas y terminación llaneada.</t>
  </si>
  <si>
    <t xml:space="preserve">m²</t>
  </si>
  <si>
    <t xml:space="preserve">O-03</t>
  </si>
  <si>
    <t xml:space="preserve">Portón industrial 8 × 6 m (seccional o corredizo) y puerta peatonal 1 × 2,1 m.</t>
  </si>
  <si>
    <t xml:space="preserve">O-04</t>
  </si>
  <si>
    <t xml:space="preserve">Instalador electricista matriculado</t>
  </si>
  <si>
    <t xml:space="preserve">Instalación eléctrica interior de la nave: tablero seccional, tomas industriales trifásicos y monofásicos, iluminación LED de nave.</t>
  </si>
  <si>
    <t xml:space="preserve">O-05</t>
  </si>
  <si>
    <t xml:space="preserve">Módulos industriales</t>
  </si>
  <si>
    <t xml:space="preserve">Módulo administrativo 10 × 6 m (60 m²) de alta aislación térmica: 2 oficinas y sala de reuniones, aberturas con DVH, instalación eléctrica y climatización. Incluye transporte, montaje y fundación.</t>
  </si>
  <si>
    <t xml:space="preserve">u</t>
  </si>
  <si>
    <t xml:space="preserve">O-06</t>
  </si>
  <si>
    <t xml:space="preserve">Módulo de servicios 5 × 8 m (40 m²): vestuarios con duchas, sanitarios y comedor del personal, instalación sanitaria y termotanque. Incluye transporte, montaje y fundación.</t>
  </si>
  <si>
    <t xml:space="preserve">O-07</t>
  </si>
  <si>
    <t xml:space="preserve">Alero metálico semicubierto 10 × 5 m, altura libre 5,5 m, cubierta de chapa, adosado al frente de la nave.</t>
  </si>
  <si>
    <t xml:space="preserve">O-08</t>
  </si>
  <si>
    <t xml:space="preserve">Platea de hormigón impermeable 10 × 5 m con pendiente y rejilla perimetral hacia la cámara separadora de hidrocarburos.</t>
  </si>
  <si>
    <t xml:space="preserve">O-09</t>
  </si>
  <si>
    <t xml:space="preserve">Movimiento de suelos</t>
  </si>
  <si>
    <t xml:space="preserve">Playón de maniobras: limpieza, compactación y enripiado técnico (espesor según estudio de suelos).</t>
  </si>
  <si>
    <t xml:space="preserve">O-10</t>
  </si>
  <si>
    <t xml:space="preserve">Cercos</t>
  </si>
  <si>
    <t xml:space="preserve">Cerco perimetral olímpico de 2 m de altura, con postes y alambre tejido.</t>
  </si>
  <si>
    <t xml:space="preserve">ml</t>
  </si>
  <si>
    <t xml:space="preserve">O-11</t>
  </si>
  <si>
    <t xml:space="preserve">Portón vehicular de 8 m (corredizo o de dos hojas) y puerta peatonal de 1,5 m.</t>
  </si>
  <si>
    <t xml:space="preserve">O-12</t>
  </si>
  <si>
    <t xml:space="preserve">Conexión eléctrica trifásica, pilar de medición y tablero general (potencia a definir con la distribuidora).</t>
  </si>
  <si>
    <t xml:space="preserve">O-13</t>
  </si>
  <si>
    <t xml:space="preserve">Sanitarista matriculado</t>
  </si>
  <si>
    <t xml:space="preserve">Conexión de agua y desagüe cloacal (a red o a biodigestor, según factibilidad del PIC).</t>
  </si>
  <si>
    <t xml:space="preserve">O-14</t>
  </si>
  <si>
    <t xml:space="preserve">Cámara separadora de hidrocarburos para el efluente de lavado, con cámara de toma de muestras.</t>
  </si>
  <si>
    <t xml:space="preserve">O-15</t>
  </si>
  <si>
    <t xml:space="preserve">Seguridad e higiene</t>
  </si>
  <si>
    <t xml:space="preserve">Protección contra incendio: matafuegos, señalización e iluminación de emergencia (Ley 19.587).</t>
  </si>
  <si>
    <t xml:space="preserve">O-16</t>
  </si>
  <si>
    <t xml:space="preserve">Geotecnia</t>
  </si>
  <si>
    <t xml:space="preserve">Estudio de suelos: ensayos de penetración e informe geotécnico.</t>
  </si>
  <si>
    <t xml:space="preserve">O-17</t>
  </si>
  <si>
    <t xml:space="preserve">Profesional matriculado</t>
  </si>
  <si>
    <t xml:space="preserve">Proyecto ejecutivo, plano de implantación en CAD, cálculo estructural y dirección de obra.</t>
  </si>
  <si>
    <t xml:space="preserve">E-01</t>
  </si>
  <si>
    <t xml:space="preserve">Equipos industriales</t>
  </si>
  <si>
    <t xml:space="preserve">Banco de prueba hidrostática para herramientas de pozo, con bomba de alta presión, registrador y recinto o pantalla de protección (presión de trabajo a definir según catálogo de herramientas).</t>
  </si>
  <si>
    <t xml:space="preserve">E-02</t>
  </si>
  <si>
    <t xml:space="preserve">Hidrolavadora industrial de agua caliente.</t>
  </si>
  <si>
    <t xml:space="preserve">E-03</t>
  </si>
  <si>
    <t xml:space="preserve">Almacenaje industrial</t>
  </si>
  <si>
    <t xml:space="preserve">Racks pesados para tubulares y herramientas largas (niveles y capacidad por nivel a definir).</t>
  </si>
  <si>
    <t xml:space="preserve">E-04</t>
  </si>
  <si>
    <t xml:space="preserve">Metrología</t>
  </si>
  <si>
    <t xml:space="preserve">Herramientas de taller y metrología: calibres, micrómetros, roscas patrón y torquímetros, con certificados de calibración trazables.</t>
  </si>
  <si>
    <t xml:space="preserve">E-05</t>
  </si>
  <si>
    <t xml:space="preserve">Informática</t>
  </si>
  <si>
    <t xml:space="preserve">Equipos informáticos, red y sistema de trazabilidad de herramientas por códigos QR (etapa inicial).</t>
  </si>
  <si>
    <t xml:space="preserve">F2-01</t>
  </si>
  <si>
    <t xml:space="preserve">Maquinaria / concesionario</t>
  </si>
  <si>
    <t xml:space="preserve">Autoelevador diésel de 2,5 a 3 t. Cotización indicativa para la Fase II.</t>
  </si>
  <si>
    <t xml:space="preserve">Fase II</t>
  </si>
  <si>
    <t xml:space="preserve">F2-02</t>
  </si>
  <si>
    <t xml:space="preserve">Equipos de izaje</t>
  </si>
  <si>
    <t xml:space="preserve">Monorriel o puente grúa de 3 a 5 t con aparejo eléctrico, sobre la estructura de la nave. Cotización indicativa para la Fase II.</t>
  </si>
  <si>
    <t xml:space="preserve">F2-03</t>
  </si>
  <si>
    <t xml:space="preserve">Concesionario</t>
  </si>
  <si>
    <t xml:space="preserve">Camioneta 4x4 doble cabina. Cotización indicativa para la Fase II.</t>
  </si>
  <si>
    <t xml:space="preserve">TOTAL</t>
  </si>
  <si>
    <t xml:space="preserve">Completar solo las celdas amarillas, en los ítems que correspondan a su rubro. La alícuota de IVA viene en 21 %: corregirla si el ítem tributa otra (por ejemplo, 10,5 % en algunos bienes de capital).</t>
  </si>
  <si>
    <t xml:space="preserve">Ítems F2-xx: cotización indicativa para una etapa futura.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</si>
</sst>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$ &quot;#,##0;&quot;($ &quot;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24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B5C"/>
        <bgColor rgb="FF10243A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1F3B5C"/>
      <rgbColor rgb="FF339966"/>
      <rgbColor rgb="FF003300"/>
      <rgbColor rgb="FF333300"/>
      <rgbColor rgb="FF993300"/>
      <rgbColor rgb="FF993366"/>
      <rgbColor rgb="FF333399"/>
      <rgbColor rgb="FF10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80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3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10" min="9" style="0" width="18"/>
    <col collapsed="false" customWidth="true" hidden="false" outlineLevel="0" max="11" min="11" style="0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5" t="s">
        <v>3</v>
      </c>
      <c r="H4" s="6" t="s">
        <v>4</v>
      </c>
    </row>
    <row r="5" customFormat="false" ht="15" hidden="false" customHeight="true" outlineLevel="0" collapsed="false">
      <c r="A5" s="4" t="s">
        <v>5</v>
      </c>
      <c r="B5" s="4"/>
      <c r="C5" s="5" t="s">
        <v>6</v>
      </c>
      <c r="H5" s="7" t="s">
        <v>7</v>
      </c>
      <c r="I5" s="8"/>
      <c r="J5" s="8"/>
      <c r="K5" s="8"/>
    </row>
    <row r="6" customFormat="false" ht="15" hidden="false" customHeight="true" outlineLevel="0" collapsed="false">
      <c r="A6" s="4" t="s">
        <v>8</v>
      </c>
      <c r="B6" s="4"/>
      <c r="C6" s="5" t="s">
        <v>9</v>
      </c>
      <c r="H6" s="7" t="s">
        <v>10</v>
      </c>
      <c r="I6" s="8"/>
      <c r="J6" s="8"/>
      <c r="K6" s="8"/>
    </row>
    <row r="7" customFormat="false" ht="15" hidden="false" customHeight="false" outlineLevel="0" collapsed="false">
      <c r="H7" s="7" t="s">
        <v>11</v>
      </c>
      <c r="I7" s="8"/>
      <c r="J7" s="8"/>
      <c r="K7" s="8"/>
    </row>
    <row r="8" customFormat="false" ht="15" hidden="false" customHeight="true" outlineLevel="0" collapsed="false">
      <c r="A8" s="9" t="s">
        <v>12</v>
      </c>
      <c r="H8" s="7" t="s">
        <v>13</v>
      </c>
      <c r="I8" s="8"/>
      <c r="J8" s="8"/>
      <c r="K8" s="8"/>
    </row>
    <row r="9" customFormat="false" ht="15" hidden="false" customHeight="true" outlineLevel="0" collapsed="false">
      <c r="A9" s="10" t="s">
        <v>14</v>
      </c>
      <c r="B9" s="11" t="s">
        <v>15</v>
      </c>
      <c r="C9" s="11"/>
      <c r="D9" s="11"/>
      <c r="E9" s="11"/>
      <c r="F9" s="11"/>
      <c r="H9" s="7" t="s">
        <v>16</v>
      </c>
      <c r="I9" s="8"/>
      <c r="J9" s="8"/>
      <c r="K9" s="8"/>
    </row>
    <row r="10" customFormat="false" ht="15" hidden="false" customHeight="true" outlineLevel="0" collapsed="false">
      <c r="A10" s="10" t="s">
        <v>14</v>
      </c>
      <c r="B10" s="11" t="s">
        <v>17</v>
      </c>
      <c r="C10" s="11"/>
      <c r="D10" s="11"/>
      <c r="E10" s="11"/>
      <c r="F10" s="11"/>
      <c r="H10" s="7" t="s">
        <v>18</v>
      </c>
      <c r="I10" s="8"/>
      <c r="J10" s="8"/>
      <c r="K10" s="8"/>
    </row>
    <row r="11" customFormat="false" ht="15" hidden="false" customHeight="true" outlineLevel="0" collapsed="false">
      <c r="A11" s="10" t="s">
        <v>14</v>
      </c>
      <c r="B11" s="11" t="s">
        <v>19</v>
      </c>
      <c r="C11" s="11"/>
      <c r="D11" s="11"/>
      <c r="E11" s="11"/>
      <c r="F11" s="11"/>
    </row>
    <row r="12" customFormat="false" ht="15" hidden="false" customHeight="true" outlineLevel="0" collapsed="false">
      <c r="A12" s="10" t="s">
        <v>14</v>
      </c>
      <c r="B12" s="11" t="s">
        <v>20</v>
      </c>
      <c r="C12" s="11"/>
      <c r="D12" s="11"/>
      <c r="E12" s="11"/>
      <c r="F12" s="11"/>
    </row>
    <row r="13" customFormat="false" ht="15" hidden="false" customHeight="true" outlineLevel="0" collapsed="false">
      <c r="A13" s="10" t="s">
        <v>14</v>
      </c>
      <c r="B13" s="11" t="s">
        <v>21</v>
      </c>
      <c r="C13" s="11"/>
      <c r="D13" s="11"/>
      <c r="E13" s="11"/>
      <c r="F13" s="11"/>
    </row>
    <row r="15" customFormat="false" ht="15" hidden="false" customHeight="true" outlineLevel="0" collapsed="false">
      <c r="A15" s="12" t="s">
        <v>22</v>
      </c>
      <c r="B15" s="12" t="s">
        <v>23</v>
      </c>
      <c r="C15" s="12" t="s">
        <v>24</v>
      </c>
      <c r="D15" s="12" t="s">
        <v>25</v>
      </c>
      <c r="E15" s="12" t="s">
        <v>26</v>
      </c>
      <c r="F15" s="12" t="s">
        <v>27</v>
      </c>
      <c r="G15" s="12" t="s">
        <v>28</v>
      </c>
      <c r="H15" s="12" t="s">
        <v>29</v>
      </c>
      <c r="I15" s="12" t="s">
        <v>30</v>
      </c>
      <c r="J15" s="12" t="s">
        <v>31</v>
      </c>
      <c r="K15" s="12" t="s">
        <v>32</v>
      </c>
    </row>
    <row r="16" customFormat="false" ht="34.5" hidden="false" customHeight="true" outlineLevel="0" collapsed="false">
      <c r="A16" s="13" t="s">
        <v>33</v>
      </c>
      <c r="B16" s="14" t="s">
        <v>34</v>
      </c>
      <c r="C16" s="14" t="s">
        <v>35</v>
      </c>
      <c r="D16" s="13" t="s">
        <v>36</v>
      </c>
      <c r="E16" s="15" t="n">
        <v>1</v>
      </c>
      <c r="F16" s="13" t="s">
        <v>37</v>
      </c>
      <c r="G16" s="16"/>
      <c r="H16" s="17" t="n">
        <v>0.21</v>
      </c>
      <c r="I16" s="18" t="str">
        <f aca="false">IF(G16="","",G16*E16)</f>
        <v/>
      </c>
      <c r="J16" s="18" t="str">
        <f aca="false">IF(I16="","",I16*(1+H16))</f>
        <v/>
      </c>
      <c r="K16" s="19"/>
    </row>
    <row r="17" customFormat="false" ht="15" hidden="false" customHeight="true" outlineLevel="0" collapsed="false">
      <c r="A17" s="13" t="s">
        <v>38</v>
      </c>
      <c r="B17" s="14" t="s">
        <v>34</v>
      </c>
      <c r="C17" s="14" t="s">
        <v>39</v>
      </c>
      <c r="D17" s="13" t="s">
        <v>40</v>
      </c>
      <c r="E17" s="15" t="n">
        <v>350</v>
      </c>
      <c r="F17" s="13" t="s">
        <v>37</v>
      </c>
      <c r="G17" s="16"/>
      <c r="H17" s="17" t="n">
        <v>0.21</v>
      </c>
      <c r="I17" s="18" t="str">
        <f aca="false">IF(G17="","",G17*E17)</f>
        <v/>
      </c>
      <c r="J17" s="18" t="str">
        <f aca="false">IF(I17="","",I17*(1+H17))</f>
        <v/>
      </c>
      <c r="K17" s="19"/>
    </row>
    <row r="18" customFormat="false" ht="15" hidden="false" customHeight="true" outlineLevel="0" collapsed="false">
      <c r="A18" s="13" t="s">
        <v>41</v>
      </c>
      <c r="B18" s="14" t="s">
        <v>34</v>
      </c>
      <c r="C18" s="14" t="s">
        <v>42</v>
      </c>
      <c r="D18" s="13" t="s">
        <v>36</v>
      </c>
      <c r="E18" s="15" t="n">
        <v>1</v>
      </c>
      <c r="F18" s="13" t="s">
        <v>37</v>
      </c>
      <c r="G18" s="16"/>
      <c r="H18" s="17" t="n">
        <v>0.21</v>
      </c>
      <c r="I18" s="18" t="str">
        <f aca="false">IF(G18="","",G18*E18)</f>
        <v/>
      </c>
      <c r="J18" s="18" t="str">
        <f aca="false">IF(I18="","",I18*(1+H18))</f>
        <v/>
      </c>
      <c r="K18" s="19"/>
    </row>
    <row r="19" customFormat="false" ht="23.25" hidden="false" customHeight="true" outlineLevel="0" collapsed="false">
      <c r="A19" s="13" t="s">
        <v>43</v>
      </c>
      <c r="B19" s="14" t="s">
        <v>44</v>
      </c>
      <c r="C19" s="14" t="s">
        <v>45</v>
      </c>
      <c r="D19" s="13" t="s">
        <v>36</v>
      </c>
      <c r="E19" s="15" t="n">
        <v>1</v>
      </c>
      <c r="F19" s="13" t="s">
        <v>37</v>
      </c>
      <c r="G19" s="16"/>
      <c r="H19" s="17" t="n">
        <v>0.21</v>
      </c>
      <c r="I19" s="18" t="str">
        <f aca="false">IF(G19="","",G19*E19)</f>
        <v/>
      </c>
      <c r="J19" s="18" t="str">
        <f aca="false">IF(I19="","",I19*(1+H19))</f>
        <v/>
      </c>
      <c r="K19" s="19"/>
    </row>
    <row r="20" customFormat="false" ht="23.25" hidden="false" customHeight="true" outlineLevel="0" collapsed="false">
      <c r="A20" s="13" t="s">
        <v>46</v>
      </c>
      <c r="B20" s="14" t="s">
        <v>47</v>
      </c>
      <c r="C20" s="14" t="s">
        <v>48</v>
      </c>
      <c r="D20" s="13" t="s">
        <v>49</v>
      </c>
      <c r="E20" s="15" t="n">
        <v>1</v>
      </c>
      <c r="F20" s="13" t="s">
        <v>37</v>
      </c>
      <c r="G20" s="16"/>
      <c r="H20" s="17" t="n">
        <v>0.21</v>
      </c>
      <c r="I20" s="18" t="str">
        <f aca="false">IF(G20="","",G20*E20)</f>
        <v/>
      </c>
      <c r="J20" s="18" t="str">
        <f aca="false">IF(I20="","",I20*(1+H20))</f>
        <v/>
      </c>
      <c r="K20" s="19"/>
    </row>
    <row r="21" customFormat="false" ht="23.25" hidden="false" customHeight="true" outlineLevel="0" collapsed="false">
      <c r="A21" s="13" t="s">
        <v>50</v>
      </c>
      <c r="B21" s="14" t="s">
        <v>47</v>
      </c>
      <c r="C21" s="14" t="s">
        <v>51</v>
      </c>
      <c r="D21" s="13" t="s">
        <v>49</v>
      </c>
      <c r="E21" s="15" t="n">
        <v>1</v>
      </c>
      <c r="F21" s="13" t="s">
        <v>37</v>
      </c>
      <c r="G21" s="16"/>
      <c r="H21" s="17" t="n">
        <v>0.21</v>
      </c>
      <c r="I21" s="18" t="str">
        <f aca="false">IF(G21="","",G21*E21)</f>
        <v/>
      </c>
      <c r="J21" s="18" t="str">
        <f aca="false">IF(I21="","",I21*(1+H21))</f>
        <v/>
      </c>
      <c r="K21" s="19"/>
    </row>
    <row r="22" customFormat="false" ht="23.25" hidden="false" customHeight="true" outlineLevel="0" collapsed="false">
      <c r="A22" s="13" t="s">
        <v>52</v>
      </c>
      <c r="B22" s="14" t="s">
        <v>34</v>
      </c>
      <c r="C22" s="14" t="s">
        <v>53</v>
      </c>
      <c r="D22" s="13" t="s">
        <v>40</v>
      </c>
      <c r="E22" s="15" t="n">
        <v>50</v>
      </c>
      <c r="F22" s="13" t="s">
        <v>37</v>
      </c>
      <c r="G22" s="16"/>
      <c r="H22" s="17" t="n">
        <v>0.21</v>
      </c>
      <c r="I22" s="18" t="str">
        <f aca="false">IF(G22="","",G22*E22)</f>
        <v/>
      </c>
      <c r="J22" s="18" t="str">
        <f aca="false">IF(I22="","",I22*(1+H22))</f>
        <v/>
      </c>
      <c r="K22" s="19"/>
    </row>
    <row r="23" customFormat="false" ht="23.25" hidden="false" customHeight="true" outlineLevel="0" collapsed="false">
      <c r="A23" s="13" t="s">
        <v>54</v>
      </c>
      <c r="B23" s="14" t="s">
        <v>34</v>
      </c>
      <c r="C23" s="14" t="s">
        <v>55</v>
      </c>
      <c r="D23" s="13" t="s">
        <v>40</v>
      </c>
      <c r="E23" s="15" t="n">
        <v>50</v>
      </c>
      <c r="F23" s="13" t="s">
        <v>37</v>
      </c>
      <c r="G23" s="16"/>
      <c r="H23" s="17" t="n">
        <v>0.21</v>
      </c>
      <c r="I23" s="18" t="str">
        <f aca="false">IF(G23="","",G23*E23)</f>
        <v/>
      </c>
      <c r="J23" s="18" t="str">
        <f aca="false">IF(I23="","",I23*(1+H23))</f>
        <v/>
      </c>
      <c r="K23" s="19"/>
    </row>
    <row r="24" customFormat="false" ht="23.25" hidden="false" customHeight="true" outlineLevel="0" collapsed="false">
      <c r="A24" s="13" t="s">
        <v>56</v>
      </c>
      <c r="B24" s="14" t="s">
        <v>57</v>
      </c>
      <c r="C24" s="14" t="s">
        <v>58</v>
      </c>
      <c r="D24" s="13" t="s">
        <v>40</v>
      </c>
      <c r="E24" s="15" t="n">
        <v>970</v>
      </c>
      <c r="F24" s="13" t="s">
        <v>37</v>
      </c>
      <c r="G24" s="16"/>
      <c r="H24" s="17" t="n">
        <v>0.21</v>
      </c>
      <c r="I24" s="18" t="str">
        <f aca="false">IF(G24="","",G24*E24)</f>
        <v/>
      </c>
      <c r="J24" s="18" t="str">
        <f aca="false">IF(I24="","",I24*(1+H24))</f>
        <v/>
      </c>
      <c r="K24" s="19"/>
    </row>
    <row r="25" customFormat="false" ht="15" hidden="false" customHeight="true" outlineLevel="0" collapsed="false">
      <c r="A25" s="13" t="s">
        <v>59</v>
      </c>
      <c r="B25" s="14" t="s">
        <v>60</v>
      </c>
      <c r="C25" s="14" t="s">
        <v>61</v>
      </c>
      <c r="D25" s="13" t="s">
        <v>62</v>
      </c>
      <c r="E25" s="15" t="n">
        <v>172</v>
      </c>
      <c r="F25" s="13" t="s">
        <v>37</v>
      </c>
      <c r="G25" s="16"/>
      <c r="H25" s="17" t="n">
        <v>0.21</v>
      </c>
      <c r="I25" s="18" t="str">
        <f aca="false">IF(G25="","",G25*E25)</f>
        <v/>
      </c>
      <c r="J25" s="18" t="str">
        <f aca="false">IF(I25="","",I25*(1+H25))</f>
        <v/>
      </c>
      <c r="K25" s="19"/>
    </row>
    <row r="26" customFormat="false" ht="15" hidden="false" customHeight="true" outlineLevel="0" collapsed="false">
      <c r="A26" s="13" t="s">
        <v>63</v>
      </c>
      <c r="B26" s="14" t="s">
        <v>60</v>
      </c>
      <c r="C26" s="14" t="s">
        <v>64</v>
      </c>
      <c r="D26" s="13" t="s">
        <v>36</v>
      </c>
      <c r="E26" s="15" t="n">
        <v>1</v>
      </c>
      <c r="F26" s="13" t="s">
        <v>37</v>
      </c>
      <c r="G26" s="16"/>
      <c r="H26" s="17" t="n">
        <v>0.21</v>
      </c>
      <c r="I26" s="18" t="str">
        <f aca="false">IF(G26="","",G26*E26)</f>
        <v/>
      </c>
      <c r="J26" s="18" t="str">
        <f aca="false">IF(I26="","",I26*(1+H26))</f>
        <v/>
      </c>
      <c r="K26" s="19"/>
    </row>
    <row r="27" customFormat="false" ht="23.25" hidden="false" customHeight="true" outlineLevel="0" collapsed="false">
      <c r="A27" s="13" t="s">
        <v>65</v>
      </c>
      <c r="B27" s="14" t="s">
        <v>44</v>
      </c>
      <c r="C27" s="14" t="s">
        <v>66</v>
      </c>
      <c r="D27" s="13" t="s">
        <v>36</v>
      </c>
      <c r="E27" s="15" t="n">
        <v>1</v>
      </c>
      <c r="F27" s="13" t="s">
        <v>37</v>
      </c>
      <c r="G27" s="16"/>
      <c r="H27" s="17" t="n">
        <v>0.21</v>
      </c>
      <c r="I27" s="18" t="str">
        <f aca="false">IF(G27="","",G27*E27)</f>
        <v/>
      </c>
      <c r="J27" s="18" t="str">
        <f aca="false">IF(I27="","",I27*(1+H27))</f>
        <v/>
      </c>
      <c r="K27" s="19"/>
    </row>
    <row r="28" customFormat="false" ht="15" hidden="false" customHeight="true" outlineLevel="0" collapsed="false">
      <c r="A28" s="13" t="s">
        <v>67</v>
      </c>
      <c r="B28" s="14" t="s">
        <v>68</v>
      </c>
      <c r="C28" s="14" t="s">
        <v>69</v>
      </c>
      <c r="D28" s="13" t="s">
        <v>36</v>
      </c>
      <c r="E28" s="15" t="n">
        <v>1</v>
      </c>
      <c r="F28" s="13" t="s">
        <v>37</v>
      </c>
      <c r="G28" s="16"/>
      <c r="H28" s="17" t="n">
        <v>0.21</v>
      </c>
      <c r="I28" s="18" t="str">
        <f aca="false">IF(G28="","",G28*E28)</f>
        <v/>
      </c>
      <c r="J28" s="18" t="str">
        <f aca="false">IF(I28="","",I28*(1+H28))</f>
        <v/>
      </c>
      <c r="K28" s="19"/>
    </row>
    <row r="29" customFormat="false" ht="23.25" hidden="false" customHeight="true" outlineLevel="0" collapsed="false">
      <c r="A29" s="13" t="s">
        <v>70</v>
      </c>
      <c r="B29" s="14" t="s">
        <v>68</v>
      </c>
      <c r="C29" s="14" t="s">
        <v>71</v>
      </c>
      <c r="D29" s="13" t="s">
        <v>49</v>
      </c>
      <c r="E29" s="15" t="n">
        <v>1</v>
      </c>
      <c r="F29" s="13" t="s">
        <v>37</v>
      </c>
      <c r="G29" s="16"/>
      <c r="H29" s="17" t="n">
        <v>0.21</v>
      </c>
      <c r="I29" s="18" t="str">
        <f aca="false">IF(G29="","",G29*E29)</f>
        <v/>
      </c>
      <c r="J29" s="18" t="str">
        <f aca="false">IF(I29="","",I29*(1+H29))</f>
        <v/>
      </c>
      <c r="K29" s="19"/>
    </row>
    <row r="30" customFormat="false" ht="15" hidden="false" customHeight="true" outlineLevel="0" collapsed="false">
      <c r="A30" s="13" t="s">
        <v>72</v>
      </c>
      <c r="B30" s="14" t="s">
        <v>73</v>
      </c>
      <c r="C30" s="14" t="s">
        <v>74</v>
      </c>
      <c r="D30" s="13" t="s">
        <v>36</v>
      </c>
      <c r="E30" s="15" t="n">
        <v>1</v>
      </c>
      <c r="F30" s="13" t="s">
        <v>37</v>
      </c>
      <c r="G30" s="16"/>
      <c r="H30" s="17" t="n">
        <v>0.21</v>
      </c>
      <c r="I30" s="18" t="str">
        <f aca="false">IF(G30="","",G30*E30)</f>
        <v/>
      </c>
      <c r="J30" s="18" t="str">
        <f aca="false">IF(I30="","",I30*(1+H30))</f>
        <v/>
      </c>
      <c r="K30" s="19"/>
    </row>
    <row r="31" customFormat="false" ht="15" hidden="false" customHeight="true" outlineLevel="0" collapsed="false">
      <c r="A31" s="13" t="s">
        <v>75</v>
      </c>
      <c r="B31" s="14" t="s">
        <v>76</v>
      </c>
      <c r="C31" s="14" t="s">
        <v>77</v>
      </c>
      <c r="D31" s="13" t="s">
        <v>36</v>
      </c>
      <c r="E31" s="15" t="n">
        <v>1</v>
      </c>
      <c r="F31" s="13" t="s">
        <v>37</v>
      </c>
      <c r="G31" s="16"/>
      <c r="H31" s="17" t="n">
        <v>0.21</v>
      </c>
      <c r="I31" s="18" t="str">
        <f aca="false">IF(G31="","",G31*E31)</f>
        <v/>
      </c>
      <c r="J31" s="18" t="str">
        <f aca="false">IF(I31="","",I31*(1+H31))</f>
        <v/>
      </c>
      <c r="K31" s="19"/>
    </row>
    <row r="32" customFormat="false" ht="15" hidden="false" customHeight="true" outlineLevel="0" collapsed="false">
      <c r="A32" s="13" t="s">
        <v>78</v>
      </c>
      <c r="B32" s="14" t="s">
        <v>79</v>
      </c>
      <c r="C32" s="14" t="s">
        <v>80</v>
      </c>
      <c r="D32" s="13" t="s">
        <v>36</v>
      </c>
      <c r="E32" s="15" t="n">
        <v>1</v>
      </c>
      <c r="F32" s="13" t="s">
        <v>37</v>
      </c>
      <c r="G32" s="16"/>
      <c r="H32" s="17" t="n">
        <v>0.21</v>
      </c>
      <c r="I32" s="18" t="str">
        <f aca="false">IF(G32="","",G32*E32)</f>
        <v/>
      </c>
      <c r="J32" s="18" t="str">
        <f aca="false">IF(I32="","",I32*(1+H32))</f>
        <v/>
      </c>
      <c r="K32" s="19"/>
    </row>
    <row r="33" customFormat="false" ht="23.25" hidden="false" customHeight="true" outlineLevel="0" collapsed="false">
      <c r="A33" s="13" t="s">
        <v>81</v>
      </c>
      <c r="B33" s="14" t="s">
        <v>82</v>
      </c>
      <c r="C33" s="14" t="s">
        <v>83</v>
      </c>
      <c r="D33" s="13" t="s">
        <v>49</v>
      </c>
      <c r="E33" s="15" t="n">
        <v>1</v>
      </c>
      <c r="F33" s="13" t="s">
        <v>37</v>
      </c>
      <c r="G33" s="16"/>
      <c r="H33" s="17" t="n">
        <v>0.21</v>
      </c>
      <c r="I33" s="18" t="str">
        <f aca="false">IF(G33="","",G33*E33)</f>
        <v/>
      </c>
      <c r="J33" s="18" t="str">
        <f aca="false">IF(I33="","",I33*(1+H33))</f>
        <v/>
      </c>
      <c r="K33" s="19"/>
    </row>
    <row r="34" customFormat="false" ht="15" hidden="false" customHeight="true" outlineLevel="0" collapsed="false">
      <c r="A34" s="13" t="s">
        <v>84</v>
      </c>
      <c r="B34" s="14" t="s">
        <v>82</v>
      </c>
      <c r="C34" s="14" t="s">
        <v>85</v>
      </c>
      <c r="D34" s="13" t="s">
        <v>49</v>
      </c>
      <c r="E34" s="15" t="n">
        <v>1</v>
      </c>
      <c r="F34" s="13" t="s">
        <v>37</v>
      </c>
      <c r="G34" s="16"/>
      <c r="H34" s="17" t="n">
        <v>0.21</v>
      </c>
      <c r="I34" s="18" t="str">
        <f aca="false">IF(G34="","",G34*E34)</f>
        <v/>
      </c>
      <c r="J34" s="18" t="str">
        <f aca="false">IF(I34="","",I34*(1+H34))</f>
        <v/>
      </c>
      <c r="K34" s="19"/>
    </row>
    <row r="35" customFormat="false" ht="15" hidden="false" customHeight="true" outlineLevel="0" collapsed="false">
      <c r="A35" s="13" t="s">
        <v>86</v>
      </c>
      <c r="B35" s="14" t="s">
        <v>87</v>
      </c>
      <c r="C35" s="14" t="s">
        <v>88</v>
      </c>
      <c r="D35" s="13" t="s">
        <v>36</v>
      </c>
      <c r="E35" s="15" t="n">
        <v>1</v>
      </c>
      <c r="F35" s="13" t="s">
        <v>37</v>
      </c>
      <c r="G35" s="16"/>
      <c r="H35" s="17" t="n">
        <v>0.21</v>
      </c>
      <c r="I35" s="18" t="str">
        <f aca="false">IF(G35="","",G35*E35)</f>
        <v/>
      </c>
      <c r="J35" s="18" t="str">
        <f aca="false">IF(I35="","",I35*(1+H35))</f>
        <v/>
      </c>
      <c r="K35" s="19"/>
    </row>
    <row r="36" customFormat="false" ht="23.25" hidden="false" customHeight="true" outlineLevel="0" collapsed="false">
      <c r="A36" s="13" t="s">
        <v>89</v>
      </c>
      <c r="B36" s="14" t="s">
        <v>90</v>
      </c>
      <c r="C36" s="14" t="s">
        <v>91</v>
      </c>
      <c r="D36" s="13" t="s">
        <v>36</v>
      </c>
      <c r="E36" s="15" t="n">
        <v>1</v>
      </c>
      <c r="F36" s="13" t="s">
        <v>37</v>
      </c>
      <c r="G36" s="16"/>
      <c r="H36" s="17" t="n">
        <v>0.21</v>
      </c>
      <c r="I36" s="18" t="str">
        <f aca="false">IF(G36="","",G36*E36)</f>
        <v/>
      </c>
      <c r="J36" s="18" t="str">
        <f aca="false">IF(I36="","",I36*(1+H36))</f>
        <v/>
      </c>
      <c r="K36" s="19"/>
    </row>
    <row r="37" customFormat="false" ht="15" hidden="false" customHeight="true" outlineLevel="0" collapsed="false">
      <c r="A37" s="13" t="s">
        <v>92</v>
      </c>
      <c r="B37" s="14" t="s">
        <v>93</v>
      </c>
      <c r="C37" s="14" t="s">
        <v>94</v>
      </c>
      <c r="D37" s="13" t="s">
        <v>36</v>
      </c>
      <c r="E37" s="15" t="n">
        <v>1</v>
      </c>
      <c r="F37" s="13" t="s">
        <v>37</v>
      </c>
      <c r="G37" s="16"/>
      <c r="H37" s="17" t="n">
        <v>0.21</v>
      </c>
      <c r="I37" s="18" t="str">
        <f aca="false">IF(G37="","",G37*E37)</f>
        <v/>
      </c>
      <c r="J37" s="18" t="str">
        <f aca="false">IF(I37="","",I37*(1+H37))</f>
        <v/>
      </c>
      <c r="K37" s="19"/>
    </row>
    <row r="38" customFormat="false" ht="15" hidden="false" customHeight="true" outlineLevel="0" collapsed="false">
      <c r="A38" s="13" t="s">
        <v>95</v>
      </c>
      <c r="B38" s="14" t="s">
        <v>96</v>
      </c>
      <c r="C38" s="14" t="s">
        <v>97</v>
      </c>
      <c r="D38" s="13" t="s">
        <v>49</v>
      </c>
      <c r="E38" s="15" t="n">
        <v>1</v>
      </c>
      <c r="F38" s="13" t="s">
        <v>98</v>
      </c>
      <c r="G38" s="16"/>
      <c r="H38" s="17" t="n">
        <v>0.21</v>
      </c>
      <c r="I38" s="18" t="str">
        <f aca="false">IF(G38="","",G38*E38)</f>
        <v/>
      </c>
      <c r="J38" s="18" t="str">
        <f aca="false">IF(I38="","",I38*(1+H38))</f>
        <v/>
      </c>
      <c r="K38" s="19"/>
    </row>
    <row r="39" customFormat="false" ht="23.25" hidden="false" customHeight="true" outlineLevel="0" collapsed="false">
      <c r="A39" s="13" t="s">
        <v>99</v>
      </c>
      <c r="B39" s="14" t="s">
        <v>100</v>
      </c>
      <c r="C39" s="14" t="s">
        <v>101</v>
      </c>
      <c r="D39" s="13" t="s">
        <v>49</v>
      </c>
      <c r="E39" s="15" t="n">
        <v>1</v>
      </c>
      <c r="F39" s="13" t="s">
        <v>98</v>
      </c>
      <c r="G39" s="16"/>
      <c r="H39" s="17" t="n">
        <v>0.21</v>
      </c>
      <c r="I39" s="18" t="str">
        <f aca="false">IF(G39="","",G39*E39)</f>
        <v/>
      </c>
      <c r="J39" s="18" t="str">
        <f aca="false">IF(I39="","",I39*(1+H39))</f>
        <v/>
      </c>
      <c r="K39" s="19"/>
    </row>
    <row r="40" customFormat="false" ht="15" hidden="false" customHeight="true" outlineLevel="0" collapsed="false">
      <c r="A40" s="13" t="s">
        <v>102</v>
      </c>
      <c r="B40" s="14" t="s">
        <v>103</v>
      </c>
      <c r="C40" s="14" t="s">
        <v>104</v>
      </c>
      <c r="D40" s="13" t="s">
        <v>49</v>
      </c>
      <c r="E40" s="15" t="n">
        <v>1</v>
      </c>
      <c r="F40" s="13" t="s">
        <v>98</v>
      </c>
      <c r="G40" s="16"/>
      <c r="H40" s="17" t="n">
        <v>0.21</v>
      </c>
      <c r="I40" s="18" t="str">
        <f aca="false">IF(G40="","",G40*E40)</f>
        <v/>
      </c>
      <c r="J40" s="18" t="str">
        <f aca="false">IF(I40="","",I40*(1+H40))</f>
        <v/>
      </c>
      <c r="K40" s="19"/>
    </row>
    <row r="41" customFormat="false" ht="15" hidden="false" customHeight="false" outlineLevel="0" collapsed="false">
      <c r="D41" s="6" t="s">
        <v>105</v>
      </c>
      <c r="I41" s="20" t="n">
        <f aca="false">SUM(I16:I40)</f>
        <v>0</v>
      </c>
      <c r="J41" s="20" t="n">
        <f aca="false">SUM(J16:J40)</f>
        <v>0</v>
      </c>
    </row>
    <row r="42" customFormat="false" ht="15" hidden="false" customHeight="true" outlineLevel="0" collapsed="false">
      <c r="A42" s="3"/>
    </row>
    <row r="43" customFormat="false" ht="15" hidden="false" customHeight="false" outlineLevel="0" collapsed="false">
      <c r="A43" s="21" t="s">
        <v>106</v>
      </c>
    </row>
    <row r="44" customFormat="false" ht="15" hidden="false" customHeight="false" outlineLevel="0" collapsed="false">
      <c r="A44" s="21" t="s">
        <v>107</v>
      </c>
    </row>
  </sheetData>
  <autoFilter ref="A15:K40"/>
  <mergeCells count="14">
    <mergeCell ref="A4:B4"/>
    <mergeCell ref="A5:B5"/>
    <mergeCell ref="I5:K5"/>
    <mergeCell ref="A6:B6"/>
    <mergeCell ref="I6:K6"/>
    <mergeCell ref="I7:K7"/>
    <mergeCell ref="I8:K8"/>
    <mergeCell ref="B9:F9"/>
    <mergeCell ref="I9:K9"/>
    <mergeCell ref="B10:F10"/>
    <mergeCell ref="I10:K10"/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2026-10-29T06:58:06Z</dcterms:created>
  <dc:creator>openpyxl</dc:creator>
  <dc:description/>
  <dc:language>en-US</dc:language>
  <cp:lastModifiedBy/>
  <dcterms:modified xsi:type="dcterms:W3CDTF">2026-10-29T06:58:08Z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